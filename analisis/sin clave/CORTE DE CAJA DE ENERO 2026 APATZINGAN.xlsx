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02-A\code\Consultoria-Alimentos\analisis\sin clave\"/>
    </mc:Choice>
  </mc:AlternateContent>
  <xr:revisionPtr revIDLastSave="0" documentId="8_{B2DBC3A3-D7CC-4C3F-8C95-79FB2B6D62D4}" xr6:coauthVersionLast="47" xr6:coauthVersionMax="47" xr10:uidLastSave="{00000000-0000-0000-0000-000000000000}"/>
  <bookViews>
    <workbookView xWindow="6705" yWindow="3600" windowWidth="23625" windowHeight="15345" firstSheet="2" activeTab="3" xr2:uid="{00000000-000D-0000-FFFF-FFFF00000000}"/>
  </bookViews>
  <sheets>
    <sheet name="ENERO 2026" sheetId="1" r:id="rId1"/>
    <sheet name="DIA DE LA SEMANA " sheetId="2" r:id="rId2"/>
    <sheet name="RESUMEN DE LOS DIAS DE LA SEMAN" sheetId="5" r:id="rId3"/>
    <sheet name="GRAFICA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7" l="1"/>
  <c r="B10" i="7"/>
  <c r="B9" i="7"/>
  <c r="C2" i="7"/>
  <c r="C4" i="7" s="1"/>
  <c r="D35" i="2"/>
  <c r="H35" i="2"/>
  <c r="G35" i="2"/>
  <c r="F35" i="2"/>
  <c r="E35" i="2"/>
  <c r="H34" i="2"/>
  <c r="G34" i="2"/>
  <c r="D34" i="2"/>
  <c r="E34" i="2"/>
  <c r="F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E36" i="2" s="1"/>
  <c r="D31" i="2"/>
  <c r="D36" i="2" s="1"/>
  <c r="H30" i="2"/>
  <c r="H36" i="2" s="1"/>
  <c r="G30" i="2"/>
  <c r="G36" i="2" s="1"/>
  <c r="F30" i="2"/>
  <c r="F36" i="2" s="1"/>
  <c r="E30" i="2"/>
  <c r="D30" i="2"/>
  <c r="E28" i="1"/>
  <c r="F28" i="1"/>
  <c r="G28" i="1"/>
  <c r="H28" i="1"/>
  <c r="I28" i="1"/>
  <c r="J28" i="1"/>
  <c r="K28" i="1"/>
  <c r="L28" i="1"/>
  <c r="M28" i="1"/>
  <c r="C7" i="7" l="1"/>
  <c r="C6" i="7"/>
  <c r="C5" i="7"/>
  <c r="C3" i="7"/>
</calcChain>
</file>

<file path=xl/sharedStrings.xml><?xml version="1.0" encoding="utf-8"?>
<sst xmlns="http://schemas.openxmlformats.org/spreadsheetml/2006/main" count="298" uniqueCount="97">
  <si>
    <t/>
  </si>
  <si>
    <t>02/01/2026</t>
  </si>
  <si>
    <t>05:30:05</t>
  </si>
  <si>
    <t>CAJA</t>
  </si>
  <si>
    <t>$0.00</t>
  </si>
  <si>
    <t>03/01/2026</t>
  </si>
  <si>
    <t>03:54:05</t>
  </si>
  <si>
    <t>05/01/2026</t>
  </si>
  <si>
    <t>05:39:04</t>
  </si>
  <si>
    <t>06/01/2026</t>
  </si>
  <si>
    <t>05:02:44</t>
  </si>
  <si>
    <t>07/01/2026</t>
  </si>
  <si>
    <t>05:19:36</t>
  </si>
  <si>
    <t>08/01/2026</t>
  </si>
  <si>
    <t>05:30:20</t>
  </si>
  <si>
    <t>09/01/2026</t>
  </si>
  <si>
    <t>05:08:01</t>
  </si>
  <si>
    <t>10/01/2026</t>
  </si>
  <si>
    <t>03:52:33</t>
  </si>
  <si>
    <t>12/01/2026</t>
  </si>
  <si>
    <t>05:11:00</t>
  </si>
  <si>
    <t>13/01/2026</t>
  </si>
  <si>
    <t>05:05:27</t>
  </si>
  <si>
    <t>14/01/2026</t>
  </si>
  <si>
    <t>05:27:23</t>
  </si>
  <si>
    <t>15/01/2026</t>
  </si>
  <si>
    <t>05:12:18</t>
  </si>
  <si>
    <t>16/01/2026</t>
  </si>
  <si>
    <t>04:54:38</t>
  </si>
  <si>
    <t>17/01/2026</t>
  </si>
  <si>
    <t>11:48:22</t>
  </si>
  <si>
    <t>19/01/2026</t>
  </si>
  <si>
    <t>05:28:29</t>
  </si>
  <si>
    <t>20/01/2026</t>
  </si>
  <si>
    <t>05:31:17</t>
  </si>
  <si>
    <t>21/01/2026</t>
  </si>
  <si>
    <t>05:11:37</t>
  </si>
  <si>
    <t>22/01/2026</t>
  </si>
  <si>
    <t>04:59:41</t>
  </si>
  <si>
    <t>23/01/2026</t>
  </si>
  <si>
    <t>04:57:09</t>
  </si>
  <si>
    <t>24/01/2026</t>
  </si>
  <si>
    <t>03:29:37</t>
  </si>
  <si>
    <t>26/01/2026</t>
  </si>
  <si>
    <t>04:59:18</t>
  </si>
  <si>
    <t>27/01/2026</t>
  </si>
  <si>
    <t>05:18:38</t>
  </si>
  <si>
    <t>28/01/2026</t>
  </si>
  <si>
    <t>05:36:10</t>
  </si>
  <si>
    <t>31/01/2026</t>
  </si>
  <si>
    <t>11:59:35</t>
  </si>
  <si>
    <t>12:42:39</t>
  </si>
  <si>
    <t>03:45:36</t>
  </si>
  <si>
    <t>FECHA</t>
  </si>
  <si>
    <t>N#</t>
  </si>
  <si>
    <t>HORA</t>
  </si>
  <si>
    <t>CAJERO</t>
  </si>
  <si>
    <t>VENTAS</t>
  </si>
  <si>
    <t>COBRANZA</t>
  </si>
  <si>
    <t>INGRESOS</t>
  </si>
  <si>
    <t>EGRESOS</t>
  </si>
  <si>
    <t>TOTAL</t>
  </si>
  <si>
    <t>CREDITO</t>
  </si>
  <si>
    <t>DECLARADO</t>
  </si>
  <si>
    <t>VENTA/CRED</t>
  </si>
  <si>
    <t>DIFERENCIA</t>
  </si>
  <si>
    <t xml:space="preserve">FECHA </t>
  </si>
  <si>
    <t>DIA</t>
  </si>
  <si>
    <t xml:space="preserve">EGRESOS </t>
  </si>
  <si>
    <t xml:space="preserve">TOTAL </t>
  </si>
  <si>
    <t xml:space="preserve">DECLARADO </t>
  </si>
  <si>
    <t xml:space="preserve">DIFERENCIA </t>
  </si>
  <si>
    <t>LUNES</t>
  </si>
  <si>
    <t>MARTES</t>
  </si>
  <si>
    <t>JUEVES</t>
  </si>
  <si>
    <t>VIERNES</t>
  </si>
  <si>
    <t>SABADO</t>
  </si>
  <si>
    <t>MIERCOLES</t>
  </si>
  <si>
    <t>DIAS</t>
  </si>
  <si>
    <t xml:space="preserve">   VENTAS DEL LUNES </t>
  </si>
  <si>
    <t>VENTAS DEL MARTES</t>
  </si>
  <si>
    <t>VENTAS DEL MIERCOLES</t>
  </si>
  <si>
    <t>VENTAS DEL JUEVES</t>
  </si>
  <si>
    <t>VENTAS DEL  VIERNES</t>
  </si>
  <si>
    <t>VENTAS DEL SABADO</t>
  </si>
  <si>
    <t>Total general</t>
  </si>
  <si>
    <t xml:space="preserve">Suma de DECLARADO </t>
  </si>
  <si>
    <t xml:space="preserve">Suma de DIFERENCIA </t>
  </si>
  <si>
    <t>TOTAL  INGRESOS</t>
  </si>
  <si>
    <t xml:space="preserve"> </t>
  </si>
  <si>
    <t xml:space="preserve">DIA DE LA SEMANA </t>
  </si>
  <si>
    <t>VENTA DECLARADA</t>
  </si>
  <si>
    <t>(PROMEDIO)</t>
  </si>
  <si>
    <t>PROMEDIO GENERAL</t>
  </si>
  <si>
    <t>VENTA MAXIMA</t>
  </si>
  <si>
    <t>VENTA MINIMA</t>
  </si>
  <si>
    <t>"NOTA LAS CANTIDADES QUE SE MUESTRAN EN LA GRAFICA PERTENECEN A LO QUE SE DECLARO".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</si>
</sst>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8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4" fontId="2" fillId="0" borderId="0" xfId="0" applyNumberFormat="1" applyFont="1" applyProtection="1">
      <protection locked="0"/>
    </xf>
    <xf numFmtId="164" fontId="2" fillId="5" borderId="0" xfId="0" applyNumberFormat="1" applyFont="1" applyFill="1" applyProtection="1">
      <protection locked="0"/>
    </xf>
    <xf numFmtId="0" fontId="2" fillId="5" borderId="0" xfId="0" applyFont="1" applyFill="1" applyProtection="1">
      <protection locked="0"/>
    </xf>
    <xf numFmtId="164" fontId="4" fillId="0" borderId="0" xfId="0" applyNumberFormat="1" applyFont="1" applyProtection="1">
      <protection locked="0"/>
    </xf>
    <xf numFmtId="164" fontId="0" fillId="0" borderId="0" xfId="0" applyNumberFormat="1"/>
    <xf numFmtId="164" fontId="2" fillId="0" borderId="0" xfId="0" applyNumberFormat="1" applyFont="1"/>
    <xf numFmtId="164" fontId="4" fillId="0" borderId="0" xfId="0" applyNumberFormat="1" applyFont="1"/>
    <xf numFmtId="8" fontId="0" fillId="6" borderId="2" xfId="0" applyNumberFormat="1" applyFill="1" applyBorder="1" applyAlignment="1">
      <alignment horizontal="center"/>
    </xf>
    <xf numFmtId="0" fontId="0" fillId="0" borderId="0" xfId="0" applyNumberFormat="1"/>
    <xf numFmtId="0" fontId="2" fillId="0" borderId="3" xfId="0" applyFont="1" applyBorder="1"/>
    <xf numFmtId="164" fontId="2" fillId="0" borderId="3" xfId="0" applyNumberFormat="1" applyFont="1" applyBorder="1"/>
    <xf numFmtId="0" fontId="2" fillId="6" borderId="3" xfId="0" applyFont="1" applyFill="1" applyBorder="1"/>
    <xf numFmtId="164" fontId="2" fillId="6" borderId="3" xfId="0" applyNumberFormat="1" applyFont="1" applyFill="1" applyBorder="1"/>
    <xf numFmtId="0" fontId="0" fillId="8" borderId="0" xfId="0" applyFill="1"/>
    <xf numFmtId="164" fontId="0" fillId="8" borderId="0" xfId="0" applyNumberFormat="1" applyFill="1"/>
    <xf numFmtId="0" fontId="0" fillId="0" borderId="2" xfId="0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/>
    <xf numFmtId="164" fontId="0" fillId="0" borderId="2" xfId="0" applyNumberFormat="1" applyBorder="1"/>
    <xf numFmtId="164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4" fontId="0" fillId="0" borderId="12" xfId="0" applyNumberFormat="1" applyBorder="1"/>
    <xf numFmtId="44" fontId="1" fillId="4" borderId="2" xfId="3" applyNumberFormat="1" applyBorder="1"/>
    <xf numFmtId="164" fontId="1" fillId="3" borderId="2" xfId="2" applyNumberForma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6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2" borderId="4" xfId="1" applyFont="1" applyBorder="1" applyAlignment="1">
      <alignment horizontal="center" wrapText="1"/>
    </xf>
    <xf numFmtId="0" fontId="6" fillId="2" borderId="1" xfId="1" applyFont="1" applyAlignment="1">
      <alignment horizontal="center" wrapText="1"/>
    </xf>
  </cellXfs>
  <cellStyles count="4">
    <cellStyle name="20% - Énfasis4" xfId="2" builtinId="42"/>
    <cellStyle name="60% - Énfasis4" xfId="3" builtinId="44"/>
    <cellStyle name="Normal" xfId="0" builtinId="0"/>
    <cellStyle name="Notas" xfId="1" builtinId="10"/>
  </cellStyles>
  <dxfs count="77">
    <dxf>
      <numFmt numFmtId="164" formatCode="_-[$$-80A]* #,##0.00_-;\-[$$-80A]* #,##0.00_-;_-[$$-80A]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4" formatCode="_-[$$-80A]* #,##0.00_-;\-[$$-80A]* #,##0.00_-;_-[$$-80A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_-[$$-80A]* #,##0.00_-;\-[$$-80A]* #,##0.00_-;_-[$$-80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border>
        <top style="double">
          <color auto="1"/>
        </top>
        <bottom style="double">
          <color auto="1"/>
        </bottom>
      </border>
    </dxf>
    <dxf>
      <font>
        <b/>
      </font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ont>
        <b/>
      </font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fill>
        <patternFill patternType="solid">
          <fgColor indexed="64"/>
          <bgColor theme="7" tint="0.399975585192419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fill>
        <patternFill patternType="solid">
          <fgColor indexed="64"/>
          <bgColor theme="7" tint="0.39997558519241921"/>
        </patternFill>
      </fill>
      <protection locked="0" hidden="0"/>
    </dxf>
    <dxf>
      <protection locked="0" hidden="0"/>
    </dxf>
    <dxf>
      <font>
        <b/>
      </font>
      <fill>
        <patternFill patternType="solid">
          <fgColor indexed="64"/>
          <bgColor theme="7" tint="0.39997558519241921"/>
        </patternFill>
      </fill>
      <protection locked="0" hidden="0"/>
    </dxf>
    <dxf>
      <protection locked="0" hidden="0"/>
    </dxf>
    <dxf>
      <font>
        <b/>
      </font>
      <fill>
        <patternFill patternType="solid">
          <fgColor indexed="64"/>
          <bgColor theme="7" tint="0.39997558519241921"/>
        </patternFill>
      </fill>
      <protection locked="0" hidden="0"/>
    </dxf>
    <dxf>
      <protection locked="0" hidden="0"/>
    </dxf>
    <dxf>
      <font>
        <b/>
      </font>
      <fill>
        <patternFill patternType="solid">
          <fgColor indexed="64"/>
          <bgColor theme="7" tint="0.39997558519241921"/>
        </patternFill>
      </fill>
      <protection locked="0" hidden="0"/>
    </dxf>
    <dxf>
      <protection locked="0" hidden="0"/>
    </dxf>
    <dxf>
      <font>
        <b/>
      </font>
      <fill>
        <patternFill patternType="solid">
          <fgColor indexed="64"/>
          <bgColor theme="7" tint="0.39997558519241921"/>
        </patternFill>
      </fill>
    </dxf>
    <dxf>
      <protection locked="0" hidden="0"/>
    </dxf>
    <dxf>
      <font>
        <b/>
        <i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800" b="1" i="0" baseline="0">
                <a:solidFill>
                  <a:srgbClr val="FFC000"/>
                </a:solidFill>
                <a:effectLst/>
              </a:rPr>
              <a:t>Análisis Comparativo de Ingreosos Declarados</a:t>
            </a:r>
            <a:endParaRPr lang="es-MX">
              <a:solidFill>
                <a:srgbClr val="FFC000"/>
              </a:solidFill>
              <a:effectLst/>
            </a:endParaRPr>
          </a:p>
          <a:p>
            <a:pPr>
              <a:defRPr/>
            </a:pPr>
            <a:r>
              <a:rPr lang="es-MX" sz="1100" b="0" i="1" baseline="0">
                <a:effectLst>
                  <a:outerShdw blurRad="50800" dist="50800" dir="5400000" algn="ctr" rotWithShape="0">
                    <a:schemeClr val="bg1"/>
                  </a:outerShdw>
                </a:effectLst>
              </a:rPr>
              <a:t>Enero 2026. Ventas Totales por Día</a:t>
            </a:r>
            <a:r>
              <a:rPr lang="es-MX" sz="1800" b="0" i="1" baseline="0">
                <a:effectLst>
                  <a:outerShdw blurRad="50800" dist="50800" dir="5400000" algn="ctr" rotWithShape="0">
                    <a:schemeClr val="bg1"/>
                  </a:outerShdw>
                </a:effectLst>
              </a:rPr>
              <a:t>.</a:t>
            </a:r>
            <a:endParaRPr lang="es-MX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GRAFICA!$B$1</c:f>
              <c:strCache>
                <c:ptCount val="1"/>
                <c:pt idx="0">
                  <c:v>VENTA DECLARADA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50-416E-BDA9-AC85DE0557C2}"/>
              </c:ext>
            </c:extLst>
          </c:dPt>
          <c:cat>
            <c:strRef>
              <c:f>GRAFICA!$A$2:$A$7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GRAFICA!$B$2:$B$7</c:f>
              <c:numCache>
                <c:formatCode>_-[$$-80A]* #,##0.00_-;\-[$$-80A]* #,##0.00_-;_-[$$-80A]* "-"??_-;_-@_-</c:formatCode>
                <c:ptCount val="6"/>
                <c:pt idx="0">
                  <c:v>356438</c:v>
                </c:pt>
                <c:pt idx="1">
                  <c:v>244837</c:v>
                </c:pt>
                <c:pt idx="2">
                  <c:v>135767</c:v>
                </c:pt>
                <c:pt idx="3">
                  <c:v>46742</c:v>
                </c:pt>
                <c:pt idx="4">
                  <c:v>282410</c:v>
                </c:pt>
                <c:pt idx="5">
                  <c:v>56980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0-416E-BDA9-AC85DE05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273488"/>
        <c:axId val="2093274320"/>
      </c:barChart>
      <c:lineChart>
        <c:grouping val="standard"/>
        <c:varyColors val="0"/>
        <c:ser>
          <c:idx val="1"/>
          <c:order val="1"/>
          <c:tx>
            <c:strRef>
              <c:f>GRAFICA!$C$1</c:f>
              <c:strCache>
                <c:ptCount val="1"/>
                <c:pt idx="0">
                  <c:v>(PROMEDIO)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GRAFICA!$A$2:$A$7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GRAFICA!$C$2:$C$7</c:f>
              <c:numCache>
                <c:formatCode>_-[$$-80A]* #,##0.00_-;\-[$$-80A]* #,##0.00_-;_-[$$-80A]* "-"??_-;_-@_-</c:formatCode>
                <c:ptCount val="6"/>
                <c:pt idx="0">
                  <c:v>187195.66666666666</c:v>
                </c:pt>
                <c:pt idx="1">
                  <c:v>187195.66666666666</c:v>
                </c:pt>
                <c:pt idx="2">
                  <c:v>187195.66666666666</c:v>
                </c:pt>
                <c:pt idx="3">
                  <c:v>187195.66666666666</c:v>
                </c:pt>
                <c:pt idx="4">
                  <c:v>187195.66666666666</c:v>
                </c:pt>
                <c:pt idx="5">
                  <c:v>187195.66666666666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0-416E-BDA9-AC85DE05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273488"/>
        <c:axId val="2093274320"/>
      </c:lineChart>
      <c:catAx>
        <c:axId val="209327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3274320"/>
        <c:crosses val="autoZero"/>
        <c:auto val="1"/>
        <c:lblAlgn val="ctr"/>
        <c:lblOffset val="100"/>
        <c:noMultiLvlLbl val="0"/>
      </c:catAx>
      <c:valAx>
        <c:axId val="20932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80A]* #,##0.00_-;\-[$$-80A]* #,##0.00_-;_-[$$-8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327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0</xdr:row>
      <xdr:rowOff>0</xdr:rowOff>
    </xdr:from>
    <xdr:to>
      <xdr:col>10</xdr:col>
      <xdr:colOff>742949</xdr:colOff>
      <xdr:row>17</xdr:row>
      <xdr:rowOff>14288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3AF6AA-99A2-4351-934A-F2393F782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7.785049652775" createdVersion="1" refreshedVersion="7" recordCount="26" upgradeOnRefresh="1" xr:uid="{00000000-000A-0000-FFFF-FFFF0C000000}">
  <cacheSource type="worksheet">
    <worksheetSource name="Tabla2"/>
  </cacheSource>
  <cacheFields count="8">
    <cacheField name="FECHA " numFmtId="0">
      <sharedItems count="24">
        <s v="02/01/2026"/>
        <s v="03/01/2026"/>
        <s v="05/01/2026"/>
        <s v="06/01/2026"/>
        <s v="07/01/2026"/>
        <s v="08/01/2026"/>
        <s v="09/01/2026"/>
        <s v="10/01/2026"/>
        <s v="12/01/2026"/>
        <s v="13/01/2026"/>
        <s v="14/01/2026"/>
        <s v="15/01/2026"/>
        <s v="16/01/2026"/>
        <s v="17/01/2026"/>
        <s v="19/01/2026"/>
        <s v="20/01/2026"/>
        <s v="21/01/2026"/>
        <s v="22/01/2026"/>
        <s v="23/01/2026"/>
        <s v="24/01/2026"/>
        <s v="26/01/2026"/>
        <s v="27/01/2026"/>
        <s v="28/01/2026"/>
        <s v="31/01/2026"/>
      </sharedItems>
    </cacheField>
    <cacheField name="DIA" numFmtId="0">
      <sharedItems count="6">
        <s v="VIERNES"/>
        <s v="SABADO"/>
        <s v="LUNES"/>
        <s v="MARTES"/>
        <s v="MIERCOLES"/>
        <s v="JUEVES"/>
      </sharedItems>
    </cacheField>
    <cacheField name="N#" numFmtId="0">
      <sharedItems containsSemiMixedTypes="0" containsString="0" containsNumber="1" containsInteger="1" minValue="2188" maxValue="2213"/>
    </cacheField>
    <cacheField name="INGRESOS" numFmtId="164">
      <sharedItems containsSemiMixedTypes="0" containsString="0" containsNumber="1" minValue="16318" maxValue="191518"/>
    </cacheField>
    <cacheField name="EGRESOS " numFmtId="164">
      <sharedItems containsMixedTypes="1" containsNumber="1" containsInteger="1" minValue="50" maxValue="31744"/>
    </cacheField>
    <cacheField name="TOTAL " numFmtId="164">
      <sharedItems containsSemiMixedTypes="0" containsString="0" containsNumber="1" minValue="1220" maxValue="188095"/>
    </cacheField>
    <cacheField name="DECLARADO " numFmtId="164">
      <sharedItems containsSemiMixedTypes="0" containsString="0" containsNumber="1" containsInteger="1" minValue="1220" maxValue="188095"/>
    </cacheField>
    <cacheField name="DIFERENCIA " numFmtId="164">
      <sharedItems containsMixedTypes="1" containsNumber="1" minValue="-6870" maxValue="158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0"/>
    <x v="0"/>
    <n v="2188"/>
    <n v="16318"/>
    <s v="$0.00"/>
    <n v="16318"/>
    <n v="9448"/>
    <n v="-6870"/>
  </r>
  <r>
    <x v="1"/>
    <x v="1"/>
    <n v="2189"/>
    <n v="19240"/>
    <n v="16500"/>
    <n v="2740"/>
    <n v="2740"/>
    <s v="$0.00"/>
  </r>
  <r>
    <x v="2"/>
    <x v="2"/>
    <n v="2190"/>
    <n v="191518"/>
    <n v="3423"/>
    <n v="188095"/>
    <n v="188095"/>
    <s v="$0.00"/>
  </r>
  <r>
    <x v="3"/>
    <x v="3"/>
    <n v="2191"/>
    <n v="70891.53"/>
    <n v="4572"/>
    <n v="66319.53"/>
    <n v="66320"/>
    <n v="0.47"/>
  </r>
  <r>
    <x v="4"/>
    <x v="4"/>
    <n v="2192"/>
    <n v="21278"/>
    <n v="1000"/>
    <n v="20278"/>
    <n v="20278"/>
    <s v="$0.00"/>
  </r>
  <r>
    <x v="5"/>
    <x v="5"/>
    <n v="2193"/>
    <n v="19762"/>
    <n v="6587"/>
    <n v="13175"/>
    <n v="13175"/>
    <s v="$0.00"/>
  </r>
  <r>
    <x v="6"/>
    <x v="0"/>
    <n v="2194"/>
    <n v="151113"/>
    <n v="3345"/>
    <n v="147768"/>
    <n v="147768"/>
    <s v="$0.00"/>
  </r>
  <r>
    <x v="7"/>
    <x v="1"/>
    <n v="2195"/>
    <n v="32815"/>
    <n v="31250"/>
    <n v="1565"/>
    <n v="1565"/>
    <s v="$0.00"/>
  </r>
  <r>
    <x v="8"/>
    <x v="2"/>
    <n v="2196"/>
    <n v="28419"/>
    <n v="50"/>
    <n v="28369"/>
    <n v="28369"/>
    <s v="$0.00"/>
  </r>
  <r>
    <x v="9"/>
    <x v="3"/>
    <n v="2197"/>
    <n v="21970"/>
    <n v="2149"/>
    <n v="19821"/>
    <n v="19821"/>
    <s v="$0.00"/>
  </r>
  <r>
    <x v="10"/>
    <x v="4"/>
    <n v="2198"/>
    <n v="17830"/>
    <n v="300"/>
    <n v="17530"/>
    <n v="17530"/>
    <s v="$0.00"/>
  </r>
  <r>
    <x v="11"/>
    <x v="5"/>
    <n v="2199"/>
    <n v="17043"/>
    <n v="4020"/>
    <n v="13023"/>
    <n v="13587"/>
    <n v="564"/>
  </r>
  <r>
    <x v="12"/>
    <x v="0"/>
    <n v="2200"/>
    <n v="89365"/>
    <n v="2590"/>
    <n v="86775"/>
    <n v="90756"/>
    <n v="3981"/>
  </r>
  <r>
    <x v="13"/>
    <x v="1"/>
    <n v="2201"/>
    <n v="35542"/>
    <n v="17250"/>
    <n v="18292"/>
    <n v="14311"/>
    <n v="-3981"/>
  </r>
  <r>
    <x v="14"/>
    <x v="2"/>
    <n v="2202"/>
    <n v="104106.99"/>
    <s v="$0.00"/>
    <n v="104106.99"/>
    <n v="104107"/>
    <n v="0.01"/>
  </r>
  <r>
    <x v="15"/>
    <x v="3"/>
    <n v="2203"/>
    <n v="38108"/>
    <n v="120"/>
    <n v="37988"/>
    <n v="37988"/>
    <s v="$0.00"/>
  </r>
  <r>
    <x v="16"/>
    <x v="4"/>
    <n v="2204"/>
    <n v="19405"/>
    <n v="1000"/>
    <n v="18405"/>
    <n v="18405"/>
    <s v="$0.00"/>
  </r>
  <r>
    <x v="17"/>
    <x v="5"/>
    <n v="2205"/>
    <n v="22155"/>
    <n v="2175"/>
    <n v="19980"/>
    <n v="19980"/>
    <s v="$0.00"/>
  </r>
  <r>
    <x v="18"/>
    <x v="0"/>
    <n v="2206"/>
    <n v="36438"/>
    <n v="2000"/>
    <n v="34438"/>
    <n v="34438"/>
    <s v="$0.00"/>
  </r>
  <r>
    <x v="19"/>
    <x v="1"/>
    <n v="2207"/>
    <n v="28372.2"/>
    <n v="25100"/>
    <n v="3272.2"/>
    <n v="3272"/>
    <n v="-0.2"/>
  </r>
  <r>
    <x v="20"/>
    <x v="2"/>
    <n v="2208"/>
    <n v="35867"/>
    <s v="$0.00"/>
    <n v="35867"/>
    <n v="35867"/>
    <s v="$0.00"/>
  </r>
  <r>
    <x v="21"/>
    <x v="3"/>
    <n v="2209"/>
    <n v="123607.5"/>
    <n v="2900"/>
    <n v="120707.5"/>
    <n v="120708"/>
    <n v="0.5"/>
  </r>
  <r>
    <x v="22"/>
    <x v="4"/>
    <n v="2210"/>
    <n v="81954"/>
    <n v="2400"/>
    <n v="79554"/>
    <n v="79554"/>
    <s v="$0.00"/>
  </r>
  <r>
    <x v="23"/>
    <x v="1"/>
    <n v="2211"/>
    <n v="26186"/>
    <n v="11050"/>
    <n v="15136"/>
    <n v="15136"/>
    <s v="$0.00"/>
  </r>
  <r>
    <x v="23"/>
    <x v="1"/>
    <n v="2212"/>
    <n v="34608"/>
    <n v="31744"/>
    <n v="2864"/>
    <n v="18736"/>
    <n v="15872"/>
  </r>
  <r>
    <x v="23"/>
    <x v="1"/>
    <n v="2213"/>
    <n v="17790"/>
    <n v="16570"/>
    <n v="1220"/>
    <n v="1220"/>
    <s v="$0.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4" cacheId="0" applyNumberFormats="0" applyBorderFormats="0" applyFontFormats="0" applyPatternFormats="0" applyAlignmentFormats="0" applyWidthHeightFormats="1" dataCaption="Datos" updatedVersion="7" showDrill="0" showMemberPropertyTips="0" useAutoFormatting="1" colGrandTotals="0" itemPrintTitles="1" createdVersion="1" indent="0" showHeaders="0" compact="0" outline="1" outlineData="1" compactData="0" gridDropZones="1">
  <location ref="A3:E41" firstHeaderRow="1" firstDataRow="2" firstDataCol="2"/>
  <pivotFields count="8">
    <pivotField axis="axisRow" compact="0" subtotalTop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ubtotalCaption=" " compact="0" subtotalTop="0" showAll="0" includeNewItemsInFilter="1">
      <items count="7">
        <item x="2"/>
        <item x="3"/>
        <item x="4"/>
        <item x="5"/>
        <item x="0"/>
        <item x="1"/>
        <item t="default"/>
      </items>
    </pivotField>
    <pivotField compact="0" subtotalTop="0" showAll="0" includeNewItemsInFilter="1"/>
    <pivotField dataField="1" compact="0" numFmtId="164" subtotalTop="0" showAll="0" includeNewItemsInFilter="1"/>
    <pivotField compact="0" subtotalTop="0" showAll="0" includeNewItemsInFilter="1"/>
    <pivotField compact="0" numFmtId="164" subtotalTop="0" showAll="0" includeNewItemsInFilter="1"/>
    <pivotField dataField="1" compact="0" numFmtId="164" subtotalTop="0" showAll="0" includeNewItemsInFilter="1"/>
    <pivotField dataField="1" compact="0" subtotalTop="0" showAll="0" includeNewItemsInFilter="1"/>
  </pivotFields>
  <rowFields count="2">
    <field x="1"/>
    <field x="0"/>
  </rowFields>
  <rowItems count="37">
    <i>
      <x/>
    </i>
    <i r="1">
      <x v="2"/>
    </i>
    <i r="1">
      <x v="8"/>
    </i>
    <i r="1">
      <x v="14"/>
    </i>
    <i r="1">
      <x v="20"/>
    </i>
    <i t="default">
      <x/>
    </i>
    <i>
      <x v="1"/>
    </i>
    <i r="1">
      <x v="3"/>
    </i>
    <i r="1">
      <x v="9"/>
    </i>
    <i r="1">
      <x v="15"/>
    </i>
    <i r="1">
      <x v="21"/>
    </i>
    <i t="default">
      <x v="1"/>
    </i>
    <i>
      <x v="2"/>
    </i>
    <i r="1">
      <x v="4"/>
    </i>
    <i r="1">
      <x v="10"/>
    </i>
    <i r="1">
      <x v="16"/>
    </i>
    <i r="1">
      <x v="22"/>
    </i>
    <i t="default">
      <x v="2"/>
    </i>
    <i>
      <x v="3"/>
    </i>
    <i r="1">
      <x v="5"/>
    </i>
    <i r="1">
      <x v="11"/>
    </i>
    <i r="1">
      <x v="17"/>
    </i>
    <i t="default">
      <x v="3"/>
    </i>
    <i>
      <x v="4"/>
    </i>
    <i r="1">
      <x/>
    </i>
    <i r="1">
      <x v="6"/>
    </i>
    <i r="1">
      <x v="12"/>
    </i>
    <i r="1">
      <x v="18"/>
    </i>
    <i t="default">
      <x v="4"/>
    </i>
    <i>
      <x v="5"/>
    </i>
    <i r="1">
      <x v="1"/>
    </i>
    <i r="1">
      <x v="7"/>
    </i>
    <i r="1">
      <x v="13"/>
    </i>
    <i r="1">
      <x v="19"/>
    </i>
    <i r="1">
      <x v="23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 INGRESOS" fld="3" baseField="0" baseItem="2"/>
    <dataField name="Suma de DECLARADO " fld="6" baseField="0" baseItem="2"/>
    <dataField name="Suma de DIFERENCIA " fld="7" baseField="0" baseItem="2"/>
  </dataFields>
  <formats count="33">
    <format dxfId="42">
      <pivotArea fieldPosition="0">
        <references count="2">
          <reference field="0" count="4">
            <x v="2"/>
            <x v="8"/>
            <x v="14"/>
            <x v="20"/>
          </reference>
          <reference field="1" count="1" selected="0">
            <x v="0"/>
          </reference>
        </references>
      </pivotArea>
    </format>
    <format dxfId="41">
      <pivotArea fieldPosition="0">
        <references count="1">
          <reference field="1" count="1" defaultSubtotal="1">
            <x v="0"/>
          </reference>
        </references>
      </pivotArea>
    </format>
    <format dxfId="40">
      <pivotArea fieldPosition="0">
        <references count="1">
          <reference field="1" count="1">
            <x v="1"/>
          </reference>
        </references>
      </pivotArea>
    </format>
    <format dxfId="39">
      <pivotArea fieldPosition="0">
        <references count="2">
          <reference field="0" count="4">
            <x v="3"/>
            <x v="9"/>
            <x v="15"/>
            <x v="21"/>
          </reference>
          <reference field="1" count="1" selected="0">
            <x v="1"/>
          </reference>
        </references>
      </pivotArea>
    </format>
    <format dxfId="38">
      <pivotArea fieldPosition="0">
        <references count="1">
          <reference field="1" count="1" defaultSubtotal="1">
            <x v="1"/>
          </reference>
        </references>
      </pivotArea>
    </format>
    <format dxfId="37">
      <pivotArea fieldPosition="0">
        <references count="1">
          <reference field="1" count="1">
            <x v="2"/>
          </reference>
        </references>
      </pivotArea>
    </format>
    <format dxfId="36">
      <pivotArea fieldPosition="0">
        <references count="2">
          <reference field="0" count="4">
            <x v="4"/>
            <x v="10"/>
            <x v="16"/>
            <x v="22"/>
          </reference>
          <reference field="1" count="1" selected="0">
            <x v="2"/>
          </reference>
        </references>
      </pivotArea>
    </format>
    <format dxfId="35">
      <pivotArea fieldPosition="0">
        <references count="1">
          <reference field="1" count="1" defaultSubtotal="1">
            <x v="2"/>
          </reference>
        </references>
      </pivotArea>
    </format>
    <format dxfId="34">
      <pivotArea fieldPosition="0">
        <references count="1">
          <reference field="1" count="1">
            <x v="3"/>
          </reference>
        </references>
      </pivotArea>
    </format>
    <format dxfId="33">
      <pivotArea fieldPosition="0">
        <references count="2">
          <reference field="0" count="3">
            <x v="5"/>
            <x v="11"/>
            <x v="17"/>
          </reference>
          <reference field="1" count="1" selected="0">
            <x v="3"/>
          </reference>
        </references>
      </pivotArea>
    </format>
    <format dxfId="32">
      <pivotArea fieldPosition="0">
        <references count="1">
          <reference field="1" count="1" defaultSubtotal="1">
            <x v="3"/>
          </reference>
        </references>
      </pivotArea>
    </format>
    <format dxfId="31">
      <pivotArea fieldPosition="0">
        <references count="1">
          <reference field="1" count="1">
            <x v="4"/>
          </reference>
        </references>
      </pivotArea>
    </format>
    <format dxfId="30">
      <pivotArea fieldPosition="0">
        <references count="2">
          <reference field="0" count="4">
            <x v="0"/>
            <x v="6"/>
            <x v="12"/>
            <x v="18"/>
          </reference>
          <reference field="1" count="1" selected="0">
            <x v="4"/>
          </reference>
        </references>
      </pivotArea>
    </format>
    <format dxfId="29">
      <pivotArea fieldPosition="0">
        <references count="1">
          <reference field="1" count="1" defaultSubtotal="1">
            <x v="4"/>
          </reference>
        </references>
      </pivotArea>
    </format>
    <format dxfId="28">
      <pivotArea fieldPosition="0">
        <references count="1">
          <reference field="1" count="1">
            <x v="5"/>
          </reference>
        </references>
      </pivotArea>
    </format>
    <format dxfId="27">
      <pivotArea fieldPosition="0">
        <references count="2">
          <reference field="0" count="5">
            <x v="1"/>
            <x v="7"/>
            <x v="13"/>
            <x v="19"/>
            <x v="23"/>
          </reference>
          <reference field="1" count="1" selected="0">
            <x v="5"/>
          </reference>
        </references>
      </pivotArea>
    </format>
    <format dxfId="26">
      <pivotArea fieldPosition="0">
        <references count="1">
          <reference field="1" count="1" defaultSubtotal="1">
            <x v="5"/>
          </reference>
        </references>
      </pivotArea>
    </format>
    <format dxfId="25">
      <pivotArea grandRow="1" outline="0" fieldPosition="0"/>
    </format>
    <format dxfId="24">
      <pivotArea dataOnly="0" fieldPosition="0">
        <references count="1">
          <reference field="1" count="0" defaultSubtotal="1"/>
        </references>
      </pivotArea>
    </format>
    <format dxfId="23">
      <pivotArea dataOnly="0" fieldPosition="0">
        <references count="1">
          <reference field="1" count="0" defaultSubtotal="1"/>
        </references>
      </pivotArea>
    </format>
    <format dxfId="22">
      <pivotArea grandRow="1" outline="0" fieldPosition="0"/>
    </format>
    <format dxfId="21">
      <pivotArea dataOnly="0" labelOnly="1" grandRow="1" fieldPosition="0"/>
    </format>
    <format dxfId="20">
      <pivotArea type="origin" dataOnly="0" labelOnly="1" outline="0" fieldPosition="0"/>
    </format>
    <format dxfId="19">
      <pivotArea type="topRight" dataOnly="0" labelOnly="1" outline="0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">
      <pivotArea fieldPosition="0">
        <references count="1">
          <reference field="1" count="1" defaultSubtotal="1">
            <x v="5"/>
          </reference>
        </references>
      </pivotArea>
    </format>
    <format dxfId="16">
      <pivotArea dataOnly="0" labelOnly="1" fieldPosition="0">
        <references count="1">
          <reference field="1" count="1" defaultSubtotal="1">
            <x v="5"/>
          </reference>
        </references>
      </pivotArea>
    </format>
    <format dxfId="15">
      <pivotArea fieldPosition="0">
        <references count="1">
          <reference field="1" count="1" defaultSubtotal="1">
            <x v="5"/>
          </reference>
        </references>
      </pivotArea>
    </format>
    <format dxfId="14">
      <pivotArea dataOnly="0" labelOnly="1" fieldPosition="0">
        <references count="1">
          <reference field="1" count="1" defaultSubtotal="1">
            <x v="5"/>
          </reference>
        </references>
      </pivotArea>
    </format>
    <format dxfId="13">
      <pivotArea type="origin" dataOnly="0" labelOnly="1" outline="0" fieldPosition="0"/>
    </format>
    <format dxfId="12">
      <pivotArea type="topRight" dataOnly="0" labelOnly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dataOnly="0" grandRow="1" fieldPosition="0"/>
    </format>
  </formats>
  <pivotTableStyleInfo name="PivotStyleMedium12" showRowHeaders="1" showColHeaders="1" showRowStripes="1" showColStripes="1" showLastColumn="1"/>
  <extLs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M28" totalsRowCount="1" headerRowDxfId="76" dataDxfId="75" totalsRowDxfId="74">
  <autoFilter ref="A1:M27" xr:uid="{00000000-0009-0000-0100-000001000000}"/>
  <tableColumns count="13">
    <tableColumn id="1" xr3:uid="{00000000-0010-0000-0000-000001000000}" name="FECHA" dataDxfId="73" totalsRowDxfId="72"/>
    <tableColumn id="2" xr3:uid="{00000000-0010-0000-0000-000002000000}" name="N#" dataDxfId="71" totalsRowDxfId="70"/>
    <tableColumn id="3" xr3:uid="{00000000-0010-0000-0000-000003000000}" name="HORA" dataDxfId="69" totalsRowDxfId="68"/>
    <tableColumn id="4" xr3:uid="{00000000-0010-0000-0000-000004000000}" name="CAJERO" dataDxfId="67" totalsRowDxfId="66"/>
    <tableColumn id="5" xr3:uid="{00000000-0010-0000-0000-000005000000}" name="VENTAS" totalsRowFunction="sum" dataDxfId="65" totalsRowDxfId="64"/>
    <tableColumn id="6" xr3:uid="{00000000-0010-0000-0000-000006000000}" name="COBRANZA" totalsRowFunction="sum" dataDxfId="63" totalsRowDxfId="62"/>
    <tableColumn id="7" xr3:uid="{00000000-0010-0000-0000-000007000000}" name="INGRESOS" totalsRowFunction="sum" dataDxfId="61" totalsRowDxfId="60"/>
    <tableColumn id="8" xr3:uid="{00000000-0010-0000-0000-000008000000}" name="EGRESOS" totalsRowFunction="sum" dataDxfId="59" totalsRowDxfId="58"/>
    <tableColumn id="9" xr3:uid="{00000000-0010-0000-0000-000009000000}" name="TOTAL" totalsRowFunction="sum" dataDxfId="57" totalsRowDxfId="56"/>
    <tableColumn id="10" xr3:uid="{00000000-0010-0000-0000-00000A000000}" name="CREDITO" totalsRowFunction="sum" dataDxfId="55" totalsRowDxfId="54"/>
    <tableColumn id="11" xr3:uid="{00000000-0010-0000-0000-00000B000000}" name="DECLARADO" totalsRowFunction="sum" dataDxfId="53" totalsRowDxfId="52"/>
    <tableColumn id="12" xr3:uid="{00000000-0010-0000-0000-00000C000000}" name="VENTA/CRED" totalsRowFunction="sum" dataDxfId="51" totalsRowDxfId="50"/>
    <tableColumn id="13" xr3:uid="{00000000-0010-0000-0000-00000D000000}" name="DIFERENCIA" totalsRowFunction="sum" dataDxfId="49" totalsRowDxfId="48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H27" totalsRowShown="0">
  <autoFilter ref="A1:H27" xr:uid="{00000000-0009-0000-0100-000002000000}"/>
  <tableColumns count="8">
    <tableColumn id="1" xr3:uid="{00000000-0010-0000-0100-000001000000}" name="FECHA "/>
    <tableColumn id="2" xr3:uid="{00000000-0010-0000-0100-000002000000}" name="DIA"/>
    <tableColumn id="3" xr3:uid="{00000000-0010-0000-0100-000003000000}" name="N#"/>
    <tableColumn id="4" xr3:uid="{00000000-0010-0000-0100-000004000000}" name="INGRESOS" dataDxfId="47"/>
    <tableColumn id="5" xr3:uid="{00000000-0010-0000-0100-000005000000}" name="EGRESOS " dataDxfId="46"/>
    <tableColumn id="6" xr3:uid="{00000000-0010-0000-0100-000006000000}" name="TOTAL " dataDxfId="45"/>
    <tableColumn id="7" xr3:uid="{00000000-0010-0000-0100-000007000000}" name="DECLARADO " dataDxfId="44"/>
    <tableColumn id="8" xr3:uid="{00000000-0010-0000-0100-000008000000}" name="DIFERENCIA " dataDxfId="43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C7" headerRowDxfId="9" headerRowBorderDxfId="8" tableBorderDxfId="7" totalsRowBorderDxfId="6">
  <autoFilter ref="A1:C7" xr:uid="{00000000-0009-0000-0100-000003000000}"/>
  <tableColumns count="3">
    <tableColumn id="1" xr3:uid="{00000000-0010-0000-0200-000001000000}" name="DIA DE LA SEMANA " totalsRowLabel="Total" dataDxfId="5" totalsRowDxfId="4"/>
    <tableColumn id="2" xr3:uid="{00000000-0010-0000-0200-000002000000}" name="VENTA DECLARADA" dataDxfId="3" totalsRowDxfId="2"/>
    <tableColumn id="3" xr3:uid="{00000000-0010-0000-0200-000003000000}" name="(PROMEDIO)" totalsRowFunction="sum" dataDxfId="1" totalsRowDxfId="0">
      <calculatedColumnFormula>$C$2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selection activeCell="E33" sqref="E33"/>
    </sheetView>
  </sheetViews>
  <sheetFormatPr baseColWidth="10" defaultRowHeight="15" x14ac:dyDescent="0.25"/>
  <cols>
    <col min="2" max="2" width="9.28515625" customWidth="1"/>
    <col min="4" max="4" width="9.5703125" customWidth="1"/>
    <col min="5" max="5" width="12.7109375" customWidth="1"/>
    <col min="6" max="6" width="13" customWidth="1"/>
    <col min="7" max="7" width="14.140625" customWidth="1"/>
    <col min="8" max="8" width="13.28515625" customWidth="1"/>
    <col min="9" max="9" width="14.7109375" customWidth="1"/>
    <col min="10" max="10" width="12.5703125" customWidth="1"/>
    <col min="11" max="11" width="13.85546875" customWidth="1"/>
    <col min="12" max="12" width="14.5703125" customWidth="1"/>
    <col min="13" max="13" width="13.5703125" customWidth="1"/>
  </cols>
  <sheetData>
    <row r="1" spans="1:14" s="31" customFormat="1" x14ac:dyDescent="0.25">
      <c r="A1" s="30" t="s">
        <v>53</v>
      </c>
      <c r="B1" s="30" t="s">
        <v>54</v>
      </c>
      <c r="C1" s="30" t="s">
        <v>55</v>
      </c>
      <c r="D1" s="30" t="s">
        <v>56</v>
      </c>
      <c r="E1" s="30" t="s">
        <v>57</v>
      </c>
      <c r="F1" s="30" t="s">
        <v>58</v>
      </c>
      <c r="G1" s="30" t="s">
        <v>59</v>
      </c>
      <c r="H1" s="30" t="s">
        <v>60</v>
      </c>
      <c r="I1" s="30" t="s">
        <v>61</v>
      </c>
      <c r="J1" s="30" t="s">
        <v>62</v>
      </c>
      <c r="K1" s="30" t="s">
        <v>63</v>
      </c>
      <c r="L1" s="30" t="s">
        <v>64</v>
      </c>
      <c r="M1" s="30" t="s">
        <v>65</v>
      </c>
    </row>
    <row r="2" spans="1:14" x14ac:dyDescent="0.25">
      <c r="A2" s="1" t="s">
        <v>1</v>
      </c>
      <c r="B2" s="1">
        <v>2188</v>
      </c>
      <c r="C2" s="1" t="s">
        <v>2</v>
      </c>
      <c r="D2" s="1" t="s">
        <v>3</v>
      </c>
      <c r="E2" s="2">
        <v>16318</v>
      </c>
      <c r="F2" s="2" t="s">
        <v>4</v>
      </c>
      <c r="G2" s="2">
        <v>16318</v>
      </c>
      <c r="H2" s="2" t="s">
        <v>4</v>
      </c>
      <c r="I2" s="2">
        <v>16318</v>
      </c>
      <c r="J2" s="2">
        <v>61389</v>
      </c>
      <c r="K2" s="2">
        <v>9448</v>
      </c>
      <c r="L2" s="2">
        <v>77707</v>
      </c>
      <c r="M2" s="6">
        <v>-6870</v>
      </c>
    </row>
    <row r="3" spans="1:14" x14ac:dyDescent="0.25">
      <c r="A3" s="1" t="s">
        <v>5</v>
      </c>
      <c r="B3" s="1">
        <v>2189</v>
      </c>
      <c r="C3" s="1" t="s">
        <v>6</v>
      </c>
      <c r="D3" s="1" t="s">
        <v>3</v>
      </c>
      <c r="E3" s="2">
        <v>19240</v>
      </c>
      <c r="F3" s="2" t="s">
        <v>4</v>
      </c>
      <c r="G3" s="2">
        <v>19240</v>
      </c>
      <c r="H3" s="2">
        <v>16500</v>
      </c>
      <c r="I3" s="2">
        <v>2740</v>
      </c>
      <c r="J3" s="2" t="s">
        <v>4</v>
      </c>
      <c r="K3" s="2">
        <v>2740</v>
      </c>
      <c r="L3" s="2">
        <v>19240</v>
      </c>
      <c r="M3" s="3" t="s">
        <v>4</v>
      </c>
      <c r="N3" s="1" t="s">
        <v>0</v>
      </c>
    </row>
    <row r="4" spans="1:14" x14ac:dyDescent="0.25">
      <c r="A4" s="1" t="s">
        <v>7</v>
      </c>
      <c r="B4" s="1">
        <v>2190</v>
      </c>
      <c r="C4" s="1" t="s">
        <v>8</v>
      </c>
      <c r="D4" s="1" t="s">
        <v>3</v>
      </c>
      <c r="E4" s="2">
        <v>80595</v>
      </c>
      <c r="F4" s="2">
        <v>110923</v>
      </c>
      <c r="G4" s="2">
        <v>191518</v>
      </c>
      <c r="H4" s="2">
        <v>3423</v>
      </c>
      <c r="I4" s="2">
        <v>188095</v>
      </c>
      <c r="J4" s="2">
        <v>6389</v>
      </c>
      <c r="K4" s="2">
        <v>188095</v>
      </c>
      <c r="L4" s="2">
        <v>86984</v>
      </c>
      <c r="M4" s="3" t="s">
        <v>4</v>
      </c>
      <c r="N4" s="1" t="s">
        <v>0</v>
      </c>
    </row>
    <row r="5" spans="1:14" x14ac:dyDescent="0.25">
      <c r="A5" s="1" t="s">
        <v>9</v>
      </c>
      <c r="B5" s="1">
        <v>2191</v>
      </c>
      <c r="C5" s="1" t="s">
        <v>10</v>
      </c>
      <c r="D5" s="1" t="s">
        <v>3</v>
      </c>
      <c r="E5" s="2">
        <v>41036.53</v>
      </c>
      <c r="F5" s="2">
        <v>29855</v>
      </c>
      <c r="G5" s="2">
        <v>70891.53</v>
      </c>
      <c r="H5" s="2">
        <v>4572</v>
      </c>
      <c r="I5" s="2">
        <v>66319.53</v>
      </c>
      <c r="J5" s="2">
        <v>38922</v>
      </c>
      <c r="K5" s="2">
        <v>66320</v>
      </c>
      <c r="L5" s="2">
        <v>79958.53</v>
      </c>
      <c r="M5" s="3">
        <v>0.47</v>
      </c>
      <c r="N5" s="1" t="s">
        <v>0</v>
      </c>
    </row>
    <row r="6" spans="1:14" x14ac:dyDescent="0.25">
      <c r="A6" s="1" t="s">
        <v>11</v>
      </c>
      <c r="B6" s="1">
        <v>2192</v>
      </c>
      <c r="C6" s="1" t="s">
        <v>12</v>
      </c>
      <c r="D6" s="1" t="s">
        <v>3</v>
      </c>
      <c r="E6" s="2">
        <v>21278</v>
      </c>
      <c r="F6" s="2" t="s">
        <v>4</v>
      </c>
      <c r="G6" s="2">
        <v>21278</v>
      </c>
      <c r="H6" s="2">
        <v>1000</v>
      </c>
      <c r="I6" s="2">
        <v>20278</v>
      </c>
      <c r="J6" s="2">
        <v>28786</v>
      </c>
      <c r="K6" s="2">
        <v>20278</v>
      </c>
      <c r="L6" s="2">
        <v>50064</v>
      </c>
      <c r="M6" s="3" t="s">
        <v>4</v>
      </c>
      <c r="N6" s="1" t="s">
        <v>0</v>
      </c>
    </row>
    <row r="7" spans="1:14" x14ac:dyDescent="0.25">
      <c r="A7" s="1" t="s">
        <v>13</v>
      </c>
      <c r="B7" s="1">
        <v>2193</v>
      </c>
      <c r="C7" s="1" t="s">
        <v>14</v>
      </c>
      <c r="D7" s="1" t="s">
        <v>3</v>
      </c>
      <c r="E7" s="2">
        <v>19762</v>
      </c>
      <c r="F7" s="2" t="s">
        <v>4</v>
      </c>
      <c r="G7" s="2">
        <v>19762</v>
      </c>
      <c r="H7" s="2">
        <v>6587</v>
      </c>
      <c r="I7" s="2">
        <v>13175</v>
      </c>
      <c r="J7" s="2">
        <v>46538</v>
      </c>
      <c r="K7" s="2">
        <v>13175</v>
      </c>
      <c r="L7" s="2">
        <v>66300</v>
      </c>
      <c r="M7" s="3" t="s">
        <v>4</v>
      </c>
      <c r="N7" s="1" t="s">
        <v>0</v>
      </c>
    </row>
    <row r="8" spans="1:14" x14ac:dyDescent="0.25">
      <c r="A8" s="1" t="s">
        <v>15</v>
      </c>
      <c r="B8" s="1">
        <v>2194</v>
      </c>
      <c r="C8" s="1" t="s">
        <v>16</v>
      </c>
      <c r="D8" s="1" t="s">
        <v>3</v>
      </c>
      <c r="E8" s="2">
        <v>18449</v>
      </c>
      <c r="F8" s="2">
        <v>132664</v>
      </c>
      <c r="G8" s="2">
        <v>151113</v>
      </c>
      <c r="H8" s="2">
        <v>3345</v>
      </c>
      <c r="I8" s="2">
        <v>147768</v>
      </c>
      <c r="J8" s="2">
        <v>882</v>
      </c>
      <c r="K8" s="2">
        <v>147768</v>
      </c>
      <c r="L8" s="2">
        <v>19331</v>
      </c>
      <c r="M8" s="3" t="s">
        <v>4</v>
      </c>
      <c r="N8" s="1" t="s">
        <v>0</v>
      </c>
    </row>
    <row r="9" spans="1:14" x14ac:dyDescent="0.25">
      <c r="A9" s="1" t="s">
        <v>17</v>
      </c>
      <c r="B9" s="1">
        <v>2195</v>
      </c>
      <c r="C9" s="1" t="s">
        <v>18</v>
      </c>
      <c r="D9" s="1" t="s">
        <v>3</v>
      </c>
      <c r="E9" s="2">
        <v>29933</v>
      </c>
      <c r="F9" s="2">
        <v>2882</v>
      </c>
      <c r="G9" s="2">
        <v>32815</v>
      </c>
      <c r="H9" s="2">
        <v>31250</v>
      </c>
      <c r="I9" s="2">
        <v>1565</v>
      </c>
      <c r="J9" s="2">
        <v>773</v>
      </c>
      <c r="K9" s="2">
        <v>1565</v>
      </c>
      <c r="L9" s="2">
        <v>30706</v>
      </c>
      <c r="M9" s="3" t="s">
        <v>4</v>
      </c>
      <c r="N9" s="1" t="s">
        <v>0</v>
      </c>
    </row>
    <row r="10" spans="1:14" x14ac:dyDescent="0.25">
      <c r="A10" s="1" t="s">
        <v>19</v>
      </c>
      <c r="B10" s="1">
        <v>2196</v>
      </c>
      <c r="C10" s="1" t="s">
        <v>20</v>
      </c>
      <c r="D10" s="1" t="s">
        <v>3</v>
      </c>
      <c r="E10" s="2">
        <v>19594</v>
      </c>
      <c r="F10" s="2">
        <v>8825</v>
      </c>
      <c r="G10" s="2">
        <v>28419</v>
      </c>
      <c r="H10" s="2">
        <v>50</v>
      </c>
      <c r="I10" s="2">
        <v>28369</v>
      </c>
      <c r="J10" s="2">
        <v>33525</v>
      </c>
      <c r="K10" s="2">
        <v>28369</v>
      </c>
      <c r="L10" s="2">
        <v>53119</v>
      </c>
      <c r="M10" s="3" t="s">
        <v>4</v>
      </c>
      <c r="N10" s="1" t="s">
        <v>0</v>
      </c>
    </row>
    <row r="11" spans="1:14" x14ac:dyDescent="0.25">
      <c r="A11" s="1" t="s">
        <v>21</v>
      </c>
      <c r="B11" s="1">
        <v>2197</v>
      </c>
      <c r="C11" s="1" t="s">
        <v>22</v>
      </c>
      <c r="D11" s="1" t="s">
        <v>3</v>
      </c>
      <c r="E11" s="2">
        <v>21847</v>
      </c>
      <c r="F11" s="2">
        <v>123</v>
      </c>
      <c r="G11" s="2">
        <v>21970</v>
      </c>
      <c r="H11" s="2">
        <v>2149</v>
      </c>
      <c r="I11" s="2">
        <v>19821</v>
      </c>
      <c r="J11" s="2">
        <v>310</v>
      </c>
      <c r="K11" s="2">
        <v>19821</v>
      </c>
      <c r="L11" s="2">
        <v>22157</v>
      </c>
      <c r="M11" s="3" t="s">
        <v>4</v>
      </c>
      <c r="N11" s="1" t="s">
        <v>0</v>
      </c>
    </row>
    <row r="12" spans="1:14" x14ac:dyDescent="0.25">
      <c r="A12" s="1" t="s">
        <v>23</v>
      </c>
      <c r="B12" s="1">
        <v>2198</v>
      </c>
      <c r="C12" s="1" t="s">
        <v>24</v>
      </c>
      <c r="D12" s="1" t="s">
        <v>3</v>
      </c>
      <c r="E12" s="2">
        <v>17830</v>
      </c>
      <c r="F12" s="2" t="s">
        <v>4</v>
      </c>
      <c r="G12" s="2">
        <v>17830</v>
      </c>
      <c r="H12" s="2">
        <v>300</v>
      </c>
      <c r="I12" s="2">
        <v>17530</v>
      </c>
      <c r="J12" s="2">
        <v>19591</v>
      </c>
      <c r="K12" s="2">
        <v>17530</v>
      </c>
      <c r="L12" s="2">
        <v>37421</v>
      </c>
      <c r="M12" s="3" t="s">
        <v>4</v>
      </c>
      <c r="N12" s="1" t="s">
        <v>0</v>
      </c>
    </row>
    <row r="13" spans="1:14" x14ac:dyDescent="0.25">
      <c r="A13" s="1" t="s">
        <v>25</v>
      </c>
      <c r="B13" s="1">
        <v>2199</v>
      </c>
      <c r="C13" s="1" t="s">
        <v>26</v>
      </c>
      <c r="D13" s="1" t="s">
        <v>3</v>
      </c>
      <c r="E13" s="2">
        <v>17043</v>
      </c>
      <c r="F13" s="2" t="s">
        <v>4</v>
      </c>
      <c r="G13" s="2">
        <v>17043</v>
      </c>
      <c r="H13" s="2">
        <v>4020</v>
      </c>
      <c r="I13" s="2">
        <v>13023</v>
      </c>
      <c r="J13" s="2">
        <v>12042</v>
      </c>
      <c r="K13" s="2">
        <v>13587</v>
      </c>
      <c r="L13" s="2">
        <v>29085</v>
      </c>
      <c r="M13" s="3">
        <v>564</v>
      </c>
      <c r="N13" s="1" t="s">
        <v>0</v>
      </c>
    </row>
    <row r="14" spans="1:14" x14ac:dyDescent="0.25">
      <c r="A14" s="1" t="s">
        <v>27</v>
      </c>
      <c r="B14" s="1">
        <v>2200</v>
      </c>
      <c r="C14" s="1" t="s">
        <v>28</v>
      </c>
      <c r="D14" s="1" t="s">
        <v>3</v>
      </c>
      <c r="E14" s="2">
        <v>56644</v>
      </c>
      <c r="F14" s="2">
        <v>32721</v>
      </c>
      <c r="G14" s="2">
        <v>89365</v>
      </c>
      <c r="H14" s="2">
        <v>2590</v>
      </c>
      <c r="I14" s="2">
        <v>86775</v>
      </c>
      <c r="J14" s="2">
        <v>46162</v>
      </c>
      <c r="K14" s="2">
        <v>90756</v>
      </c>
      <c r="L14" s="2">
        <v>102806</v>
      </c>
      <c r="M14" s="3">
        <v>3981</v>
      </c>
      <c r="N14" s="1" t="s">
        <v>0</v>
      </c>
    </row>
    <row r="15" spans="1:14" x14ac:dyDescent="0.25">
      <c r="A15" s="1" t="s">
        <v>29</v>
      </c>
      <c r="B15" s="1">
        <v>2201</v>
      </c>
      <c r="C15" s="1" t="s">
        <v>30</v>
      </c>
      <c r="D15" s="1" t="s">
        <v>3</v>
      </c>
      <c r="E15" s="2">
        <v>20061</v>
      </c>
      <c r="F15" s="2">
        <v>15481</v>
      </c>
      <c r="G15" s="2">
        <v>35542</v>
      </c>
      <c r="H15" s="2">
        <v>17250</v>
      </c>
      <c r="I15" s="2">
        <v>18292</v>
      </c>
      <c r="J15" s="2" t="s">
        <v>4</v>
      </c>
      <c r="K15" s="2">
        <v>14311</v>
      </c>
      <c r="L15" s="2">
        <v>20061</v>
      </c>
      <c r="M15" s="6">
        <v>-3981</v>
      </c>
      <c r="N15" s="1" t="s">
        <v>0</v>
      </c>
    </row>
    <row r="16" spans="1:14" x14ac:dyDescent="0.25">
      <c r="A16" s="1" t="s">
        <v>31</v>
      </c>
      <c r="B16" s="1">
        <v>2202</v>
      </c>
      <c r="C16" s="1" t="s">
        <v>32</v>
      </c>
      <c r="D16" s="1" t="s">
        <v>3</v>
      </c>
      <c r="E16" s="2">
        <v>49124.99</v>
      </c>
      <c r="F16" s="2">
        <v>54982</v>
      </c>
      <c r="G16" s="2">
        <v>104106.99</v>
      </c>
      <c r="H16" s="2" t="s">
        <v>4</v>
      </c>
      <c r="I16" s="2">
        <v>104106.99</v>
      </c>
      <c r="J16" s="2">
        <v>38335</v>
      </c>
      <c r="K16" s="2">
        <v>104107</v>
      </c>
      <c r="L16" s="2">
        <v>87459.99</v>
      </c>
      <c r="M16" s="3">
        <v>0.01</v>
      </c>
      <c r="N16" s="1" t="s">
        <v>0</v>
      </c>
    </row>
    <row r="17" spans="1:14" x14ac:dyDescent="0.25">
      <c r="A17" s="1" t="s">
        <v>33</v>
      </c>
      <c r="B17" s="1">
        <v>2203</v>
      </c>
      <c r="C17" s="1" t="s">
        <v>34</v>
      </c>
      <c r="D17" s="1" t="s">
        <v>3</v>
      </c>
      <c r="E17" s="2">
        <v>24460</v>
      </c>
      <c r="F17" s="2">
        <v>13648</v>
      </c>
      <c r="G17" s="2">
        <v>38108</v>
      </c>
      <c r="H17" s="2">
        <v>120</v>
      </c>
      <c r="I17" s="2">
        <v>37988</v>
      </c>
      <c r="J17" s="2">
        <v>28314</v>
      </c>
      <c r="K17" s="2">
        <v>37988</v>
      </c>
      <c r="L17" s="2">
        <v>52774</v>
      </c>
      <c r="M17" s="3" t="s">
        <v>4</v>
      </c>
      <c r="N17" s="1" t="s">
        <v>0</v>
      </c>
    </row>
    <row r="18" spans="1:14" x14ac:dyDescent="0.25">
      <c r="A18" s="1" t="s">
        <v>35</v>
      </c>
      <c r="B18" s="1">
        <v>2204</v>
      </c>
      <c r="C18" s="1" t="s">
        <v>36</v>
      </c>
      <c r="D18" s="1" t="s">
        <v>3</v>
      </c>
      <c r="E18" s="2">
        <v>17022</v>
      </c>
      <c r="F18" s="2">
        <v>2383</v>
      </c>
      <c r="G18" s="2">
        <v>19405</v>
      </c>
      <c r="H18" s="2">
        <v>1000</v>
      </c>
      <c r="I18" s="2">
        <v>18405</v>
      </c>
      <c r="J18" s="2" t="s">
        <v>4</v>
      </c>
      <c r="K18" s="2">
        <v>18405</v>
      </c>
      <c r="L18" s="2">
        <v>17022</v>
      </c>
      <c r="M18" s="3" t="s">
        <v>4</v>
      </c>
      <c r="N18" s="1" t="s">
        <v>0</v>
      </c>
    </row>
    <row r="19" spans="1:14" x14ac:dyDescent="0.25">
      <c r="A19" s="1" t="s">
        <v>37</v>
      </c>
      <c r="B19" s="1">
        <v>2205</v>
      </c>
      <c r="C19" s="1" t="s">
        <v>38</v>
      </c>
      <c r="D19" s="1" t="s">
        <v>3</v>
      </c>
      <c r="E19" s="2">
        <v>22155</v>
      </c>
      <c r="F19" s="2" t="s">
        <v>4</v>
      </c>
      <c r="G19" s="2">
        <v>22155</v>
      </c>
      <c r="H19" s="2">
        <v>2175</v>
      </c>
      <c r="I19" s="2">
        <v>19980</v>
      </c>
      <c r="J19" s="2">
        <v>35508</v>
      </c>
      <c r="K19" s="2">
        <v>19980</v>
      </c>
      <c r="L19" s="2">
        <v>57663</v>
      </c>
      <c r="M19" s="3" t="s">
        <v>4</v>
      </c>
      <c r="N19" s="1" t="s">
        <v>0</v>
      </c>
    </row>
    <row r="20" spans="1:14" x14ac:dyDescent="0.25">
      <c r="A20" s="1" t="s">
        <v>39</v>
      </c>
      <c r="B20" s="1">
        <v>2206</v>
      </c>
      <c r="C20" s="1" t="s">
        <v>40</v>
      </c>
      <c r="D20" s="1" t="s">
        <v>3</v>
      </c>
      <c r="E20" s="2">
        <v>22752</v>
      </c>
      <c r="F20" s="2">
        <v>13686</v>
      </c>
      <c r="G20" s="2">
        <v>36438</v>
      </c>
      <c r="H20" s="2">
        <v>2000</v>
      </c>
      <c r="I20" s="2">
        <v>34438</v>
      </c>
      <c r="J20" s="2">
        <v>2599</v>
      </c>
      <c r="K20" s="2">
        <v>34438</v>
      </c>
      <c r="L20" s="2">
        <v>25351</v>
      </c>
      <c r="M20" s="3" t="s">
        <v>4</v>
      </c>
      <c r="N20" s="1" t="s">
        <v>0</v>
      </c>
    </row>
    <row r="21" spans="1:14" x14ac:dyDescent="0.25">
      <c r="A21" s="1" t="s">
        <v>41</v>
      </c>
      <c r="B21" s="1">
        <v>2207</v>
      </c>
      <c r="C21" s="1" t="s">
        <v>42</v>
      </c>
      <c r="D21" s="1" t="s">
        <v>3</v>
      </c>
      <c r="E21" s="2">
        <v>27196.2</v>
      </c>
      <c r="F21" s="2">
        <v>1176</v>
      </c>
      <c r="G21" s="2">
        <v>28372.2</v>
      </c>
      <c r="H21" s="2">
        <v>25100</v>
      </c>
      <c r="I21" s="2">
        <v>3272.2</v>
      </c>
      <c r="J21" s="2">
        <v>2131</v>
      </c>
      <c r="K21" s="2">
        <v>3272</v>
      </c>
      <c r="L21" s="2">
        <v>29327.200000000001</v>
      </c>
      <c r="M21" s="6">
        <v>-0.2</v>
      </c>
      <c r="N21" s="1" t="s">
        <v>0</v>
      </c>
    </row>
    <row r="22" spans="1:14" x14ac:dyDescent="0.25">
      <c r="A22" s="1" t="s">
        <v>43</v>
      </c>
      <c r="B22" s="1">
        <v>2208</v>
      </c>
      <c r="C22" s="1" t="s">
        <v>44</v>
      </c>
      <c r="D22" s="1" t="s">
        <v>3</v>
      </c>
      <c r="E22" s="2">
        <v>34323</v>
      </c>
      <c r="F22" s="2">
        <v>1544</v>
      </c>
      <c r="G22" s="2">
        <v>35867</v>
      </c>
      <c r="H22" s="2" t="s">
        <v>4</v>
      </c>
      <c r="I22" s="2">
        <v>35867</v>
      </c>
      <c r="J22" s="2">
        <v>33339</v>
      </c>
      <c r="K22" s="2">
        <v>35867</v>
      </c>
      <c r="L22" s="2">
        <v>67662</v>
      </c>
      <c r="M22" s="3" t="s">
        <v>4</v>
      </c>
      <c r="N22" s="1" t="s">
        <v>0</v>
      </c>
    </row>
    <row r="23" spans="1:14" x14ac:dyDescent="0.25">
      <c r="A23" s="1" t="s">
        <v>45</v>
      </c>
      <c r="B23" s="1">
        <v>2209</v>
      </c>
      <c r="C23" s="1" t="s">
        <v>46</v>
      </c>
      <c r="D23" s="1" t="s">
        <v>3</v>
      </c>
      <c r="E23" s="2">
        <v>18239.5</v>
      </c>
      <c r="F23" s="2">
        <v>105368</v>
      </c>
      <c r="G23" s="2">
        <v>123607.5</v>
      </c>
      <c r="H23" s="2">
        <v>2900</v>
      </c>
      <c r="I23" s="2">
        <v>120707.5</v>
      </c>
      <c r="J23" s="2">
        <v>36750</v>
      </c>
      <c r="K23" s="2">
        <v>120708</v>
      </c>
      <c r="L23" s="2">
        <v>54989.5</v>
      </c>
      <c r="M23" s="3">
        <v>0.5</v>
      </c>
      <c r="N23" s="1" t="s">
        <v>0</v>
      </c>
    </row>
    <row r="24" spans="1:14" x14ac:dyDescent="0.25">
      <c r="A24" s="1" t="s">
        <v>47</v>
      </c>
      <c r="B24" s="1">
        <v>2210</v>
      </c>
      <c r="C24" s="1" t="s">
        <v>48</v>
      </c>
      <c r="D24" s="1" t="s">
        <v>3</v>
      </c>
      <c r="E24" s="2">
        <v>33688</v>
      </c>
      <c r="F24" s="2">
        <v>48266</v>
      </c>
      <c r="G24" s="2">
        <v>81954</v>
      </c>
      <c r="H24" s="2">
        <v>2400</v>
      </c>
      <c r="I24" s="2">
        <v>79554</v>
      </c>
      <c r="J24" s="2">
        <v>1751</v>
      </c>
      <c r="K24" s="2">
        <v>79554</v>
      </c>
      <c r="L24" s="2">
        <v>35439</v>
      </c>
      <c r="M24" s="3" t="s">
        <v>4</v>
      </c>
      <c r="N24" s="1" t="s">
        <v>0</v>
      </c>
    </row>
    <row r="25" spans="1:14" x14ac:dyDescent="0.25">
      <c r="A25" s="1" t="s">
        <v>49</v>
      </c>
      <c r="B25" s="1">
        <v>2211</v>
      </c>
      <c r="C25" s="1" t="s">
        <v>50</v>
      </c>
      <c r="D25" s="1" t="s">
        <v>3</v>
      </c>
      <c r="E25" s="2">
        <v>24726</v>
      </c>
      <c r="F25" s="2">
        <v>1460</v>
      </c>
      <c r="G25" s="2">
        <v>26186</v>
      </c>
      <c r="H25" s="2">
        <v>11050</v>
      </c>
      <c r="I25" s="2">
        <v>15136</v>
      </c>
      <c r="J25" s="2">
        <v>28092</v>
      </c>
      <c r="K25" s="2">
        <v>15136</v>
      </c>
      <c r="L25" s="2">
        <v>52818</v>
      </c>
      <c r="M25" s="3" t="s">
        <v>4</v>
      </c>
      <c r="N25" s="1" t="s">
        <v>0</v>
      </c>
    </row>
    <row r="26" spans="1:14" x14ac:dyDescent="0.25">
      <c r="A26" s="1" t="s">
        <v>49</v>
      </c>
      <c r="B26" s="1">
        <v>2212</v>
      </c>
      <c r="C26" s="1" t="s">
        <v>51</v>
      </c>
      <c r="D26" s="1" t="s">
        <v>3</v>
      </c>
      <c r="E26" s="2">
        <v>34608</v>
      </c>
      <c r="F26" s="2" t="s">
        <v>4</v>
      </c>
      <c r="G26" s="2">
        <v>34608</v>
      </c>
      <c r="H26" s="2">
        <v>31744</v>
      </c>
      <c r="I26" s="2">
        <v>2864</v>
      </c>
      <c r="J26" s="2">
        <v>10773</v>
      </c>
      <c r="K26" s="2">
        <v>18736</v>
      </c>
      <c r="L26" s="2">
        <v>45381</v>
      </c>
      <c r="M26" s="3">
        <v>15872</v>
      </c>
      <c r="N26" s="1" t="s">
        <v>0</v>
      </c>
    </row>
    <row r="27" spans="1:14" x14ac:dyDescent="0.25">
      <c r="A27" s="1" t="s">
        <v>49</v>
      </c>
      <c r="B27" s="1">
        <v>2213</v>
      </c>
      <c r="C27" s="1" t="s">
        <v>52</v>
      </c>
      <c r="D27" s="1" t="s">
        <v>3</v>
      </c>
      <c r="E27" s="2">
        <v>17790</v>
      </c>
      <c r="F27" s="2" t="s">
        <v>4</v>
      </c>
      <c r="G27" s="2">
        <v>17790</v>
      </c>
      <c r="H27" s="2">
        <v>16570</v>
      </c>
      <c r="I27" s="2">
        <v>1220</v>
      </c>
      <c r="J27" s="2" t="s">
        <v>4</v>
      </c>
      <c r="K27" s="2">
        <v>1220</v>
      </c>
      <c r="L27" s="2">
        <v>17790</v>
      </c>
      <c r="M27" s="3" t="s">
        <v>4</v>
      </c>
      <c r="N27" s="1" t="s">
        <v>0</v>
      </c>
    </row>
    <row r="28" spans="1:14" x14ac:dyDescent="0.25">
      <c r="A28" s="5"/>
      <c r="B28" s="5"/>
      <c r="C28" s="5"/>
      <c r="D28" s="5"/>
      <c r="E28" s="4">
        <f t="shared" ref="E28:M28" si="0">SUBTOTAL(109,E2:E27)</f>
        <v>725715.22</v>
      </c>
      <c r="F28" s="4">
        <f t="shared" si="0"/>
        <v>575987</v>
      </c>
      <c r="G28" s="4">
        <f t="shared" si="0"/>
        <v>1301702.22</v>
      </c>
      <c r="H28" s="4">
        <f t="shared" si="0"/>
        <v>188095</v>
      </c>
      <c r="I28" s="4">
        <f t="shared" si="0"/>
        <v>1113607.22</v>
      </c>
      <c r="J28" s="4">
        <f t="shared" si="0"/>
        <v>512901</v>
      </c>
      <c r="K28" s="4">
        <f t="shared" si="0"/>
        <v>1123174</v>
      </c>
      <c r="L28" s="4">
        <f t="shared" si="0"/>
        <v>1238616.22</v>
      </c>
      <c r="M28" s="4">
        <f t="shared" si="0"/>
        <v>9566.7800000000007</v>
      </c>
    </row>
    <row r="31" spans="1:14" x14ac:dyDescent="0.25">
      <c r="A31" s="1" t="s">
        <v>0</v>
      </c>
    </row>
    <row r="32" spans="1:14" x14ac:dyDescent="0.25">
      <c r="A32" s="1" t="s">
        <v>0</v>
      </c>
    </row>
    <row r="33" spans="1:1" x14ac:dyDescent="0.25">
      <c r="A33" s="1" t="s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K29" sqref="K29"/>
    </sheetView>
  </sheetViews>
  <sheetFormatPr baseColWidth="10" defaultRowHeight="15" x14ac:dyDescent="0.25"/>
  <cols>
    <col min="3" max="3" width="8.42578125" customWidth="1"/>
    <col min="4" max="4" width="14.140625" bestFit="1" customWidth="1"/>
    <col min="5" max="5" width="12.5703125" bestFit="1" customWidth="1"/>
    <col min="6" max="6" width="14.140625" bestFit="1" customWidth="1"/>
    <col min="7" max="7" width="14.28515625" customWidth="1"/>
    <col min="8" max="8" width="14" customWidth="1"/>
  </cols>
  <sheetData>
    <row r="1" spans="1:8" x14ac:dyDescent="0.25">
      <c r="A1" t="s">
        <v>66</v>
      </c>
      <c r="B1" t="s">
        <v>67</v>
      </c>
      <c r="C1" t="s">
        <v>54</v>
      </c>
      <c r="D1" t="s">
        <v>59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25">
      <c r="A2" t="s">
        <v>1</v>
      </c>
      <c r="B2" t="s">
        <v>75</v>
      </c>
      <c r="C2">
        <v>2188</v>
      </c>
      <c r="D2" s="7">
        <v>16318</v>
      </c>
      <c r="E2" s="7" t="s">
        <v>4</v>
      </c>
      <c r="F2" s="7">
        <v>16318</v>
      </c>
      <c r="G2" s="7">
        <v>9448</v>
      </c>
      <c r="H2" s="9">
        <v>-6870</v>
      </c>
    </row>
    <row r="3" spans="1:8" x14ac:dyDescent="0.25">
      <c r="A3" t="s">
        <v>5</v>
      </c>
      <c r="B3" t="s">
        <v>76</v>
      </c>
      <c r="C3">
        <v>2189</v>
      </c>
      <c r="D3" s="7">
        <v>19240</v>
      </c>
      <c r="E3" s="7">
        <v>16500</v>
      </c>
      <c r="F3" s="7">
        <v>2740</v>
      </c>
      <c r="G3" s="7">
        <v>2740</v>
      </c>
      <c r="H3" s="8" t="s">
        <v>4</v>
      </c>
    </row>
    <row r="4" spans="1:8" x14ac:dyDescent="0.25">
      <c r="A4" t="s">
        <v>7</v>
      </c>
      <c r="B4" t="s">
        <v>72</v>
      </c>
      <c r="C4">
        <v>2190</v>
      </c>
      <c r="D4" s="7">
        <v>191518</v>
      </c>
      <c r="E4" s="7">
        <v>3423</v>
      </c>
      <c r="F4" s="7">
        <v>188095</v>
      </c>
      <c r="G4" s="7">
        <v>188095</v>
      </c>
      <c r="H4" s="8" t="s">
        <v>4</v>
      </c>
    </row>
    <row r="5" spans="1:8" x14ac:dyDescent="0.25">
      <c r="A5" t="s">
        <v>9</v>
      </c>
      <c r="B5" t="s">
        <v>73</v>
      </c>
      <c r="C5">
        <v>2191</v>
      </c>
      <c r="D5" s="7">
        <v>70891.53</v>
      </c>
      <c r="E5" s="7">
        <v>4572</v>
      </c>
      <c r="F5" s="7">
        <v>66319.53</v>
      </c>
      <c r="G5" s="7">
        <v>66320</v>
      </c>
      <c r="H5" s="8">
        <v>0.47</v>
      </c>
    </row>
    <row r="6" spans="1:8" x14ac:dyDescent="0.25">
      <c r="A6" t="s">
        <v>11</v>
      </c>
      <c r="B6" t="s">
        <v>77</v>
      </c>
      <c r="C6">
        <v>2192</v>
      </c>
      <c r="D6" s="7">
        <v>21278</v>
      </c>
      <c r="E6" s="7">
        <v>1000</v>
      </c>
      <c r="F6" s="7">
        <v>20278</v>
      </c>
      <c r="G6" s="7">
        <v>20278</v>
      </c>
      <c r="H6" s="8" t="s">
        <v>4</v>
      </c>
    </row>
    <row r="7" spans="1:8" x14ac:dyDescent="0.25">
      <c r="A7" t="s">
        <v>13</v>
      </c>
      <c r="B7" t="s">
        <v>74</v>
      </c>
      <c r="C7">
        <v>2193</v>
      </c>
      <c r="D7" s="7">
        <v>19762</v>
      </c>
      <c r="E7" s="7">
        <v>6587</v>
      </c>
      <c r="F7" s="7">
        <v>13175</v>
      </c>
      <c r="G7" s="7">
        <v>13175</v>
      </c>
      <c r="H7" s="8" t="s">
        <v>4</v>
      </c>
    </row>
    <row r="8" spans="1:8" x14ac:dyDescent="0.25">
      <c r="A8" t="s">
        <v>15</v>
      </c>
      <c r="B8" t="s">
        <v>75</v>
      </c>
      <c r="C8">
        <v>2194</v>
      </c>
      <c r="D8" s="7">
        <v>151113</v>
      </c>
      <c r="E8" s="7">
        <v>3345</v>
      </c>
      <c r="F8" s="7">
        <v>147768</v>
      </c>
      <c r="G8" s="7">
        <v>147768</v>
      </c>
      <c r="H8" s="8" t="s">
        <v>4</v>
      </c>
    </row>
    <row r="9" spans="1:8" x14ac:dyDescent="0.25">
      <c r="A9" t="s">
        <v>17</v>
      </c>
      <c r="B9" t="s">
        <v>76</v>
      </c>
      <c r="C9">
        <v>2195</v>
      </c>
      <c r="D9" s="7">
        <v>32815</v>
      </c>
      <c r="E9" s="7">
        <v>31250</v>
      </c>
      <c r="F9" s="7">
        <v>1565</v>
      </c>
      <c r="G9" s="7">
        <v>1565</v>
      </c>
      <c r="H9" s="8" t="s">
        <v>4</v>
      </c>
    </row>
    <row r="10" spans="1:8" x14ac:dyDescent="0.25">
      <c r="A10" t="s">
        <v>19</v>
      </c>
      <c r="B10" t="s">
        <v>72</v>
      </c>
      <c r="C10">
        <v>2196</v>
      </c>
      <c r="D10" s="7">
        <v>28419</v>
      </c>
      <c r="E10" s="7">
        <v>50</v>
      </c>
      <c r="F10" s="7">
        <v>28369</v>
      </c>
      <c r="G10" s="7">
        <v>28369</v>
      </c>
      <c r="H10" s="8" t="s">
        <v>4</v>
      </c>
    </row>
    <row r="11" spans="1:8" x14ac:dyDescent="0.25">
      <c r="A11" t="s">
        <v>21</v>
      </c>
      <c r="B11" t="s">
        <v>73</v>
      </c>
      <c r="C11">
        <v>2197</v>
      </c>
      <c r="D11" s="7">
        <v>21970</v>
      </c>
      <c r="E11" s="7">
        <v>2149</v>
      </c>
      <c r="F11" s="7">
        <v>19821</v>
      </c>
      <c r="G11" s="7">
        <v>19821</v>
      </c>
      <c r="H11" s="8" t="s">
        <v>4</v>
      </c>
    </row>
    <row r="12" spans="1:8" x14ac:dyDescent="0.25">
      <c r="A12" t="s">
        <v>23</v>
      </c>
      <c r="B12" t="s">
        <v>77</v>
      </c>
      <c r="C12">
        <v>2198</v>
      </c>
      <c r="D12" s="7">
        <v>17830</v>
      </c>
      <c r="E12" s="7">
        <v>300</v>
      </c>
      <c r="F12" s="7">
        <v>17530</v>
      </c>
      <c r="G12" s="7">
        <v>17530</v>
      </c>
      <c r="H12" s="8" t="s">
        <v>4</v>
      </c>
    </row>
    <row r="13" spans="1:8" x14ac:dyDescent="0.25">
      <c r="A13" t="s">
        <v>25</v>
      </c>
      <c r="B13" t="s">
        <v>74</v>
      </c>
      <c r="C13">
        <v>2199</v>
      </c>
      <c r="D13" s="7">
        <v>17043</v>
      </c>
      <c r="E13" s="7">
        <v>4020</v>
      </c>
      <c r="F13" s="7">
        <v>13023</v>
      </c>
      <c r="G13" s="7">
        <v>13587</v>
      </c>
      <c r="H13" s="8">
        <v>564</v>
      </c>
    </row>
    <row r="14" spans="1:8" x14ac:dyDescent="0.25">
      <c r="A14" t="s">
        <v>27</v>
      </c>
      <c r="B14" t="s">
        <v>75</v>
      </c>
      <c r="C14">
        <v>2200</v>
      </c>
      <c r="D14" s="7">
        <v>89365</v>
      </c>
      <c r="E14" s="7">
        <v>2590</v>
      </c>
      <c r="F14" s="7">
        <v>86775</v>
      </c>
      <c r="G14" s="7">
        <v>90756</v>
      </c>
      <c r="H14" s="8">
        <v>3981</v>
      </c>
    </row>
    <row r="15" spans="1:8" x14ac:dyDescent="0.25">
      <c r="A15" t="s">
        <v>29</v>
      </c>
      <c r="B15" t="s">
        <v>76</v>
      </c>
      <c r="C15">
        <v>2201</v>
      </c>
      <c r="D15" s="7">
        <v>35542</v>
      </c>
      <c r="E15" s="7">
        <v>17250</v>
      </c>
      <c r="F15" s="7">
        <v>18292</v>
      </c>
      <c r="G15" s="7">
        <v>14311</v>
      </c>
      <c r="H15" s="9">
        <v>-3981</v>
      </c>
    </row>
    <row r="16" spans="1:8" x14ac:dyDescent="0.25">
      <c r="A16" t="s">
        <v>31</v>
      </c>
      <c r="B16" t="s">
        <v>72</v>
      </c>
      <c r="C16">
        <v>2202</v>
      </c>
      <c r="D16" s="7">
        <v>104106.99</v>
      </c>
      <c r="E16" s="7" t="s">
        <v>4</v>
      </c>
      <c r="F16" s="7">
        <v>104106.99</v>
      </c>
      <c r="G16" s="7">
        <v>104107</v>
      </c>
      <c r="H16" s="8">
        <v>0.01</v>
      </c>
    </row>
    <row r="17" spans="1:8" x14ac:dyDescent="0.25">
      <c r="A17" t="s">
        <v>33</v>
      </c>
      <c r="B17" t="s">
        <v>73</v>
      </c>
      <c r="C17">
        <v>2203</v>
      </c>
      <c r="D17" s="7">
        <v>38108</v>
      </c>
      <c r="E17" s="7">
        <v>120</v>
      </c>
      <c r="F17" s="7">
        <v>37988</v>
      </c>
      <c r="G17" s="7">
        <v>37988</v>
      </c>
      <c r="H17" s="8" t="s">
        <v>4</v>
      </c>
    </row>
    <row r="18" spans="1:8" x14ac:dyDescent="0.25">
      <c r="A18" t="s">
        <v>35</v>
      </c>
      <c r="B18" t="s">
        <v>77</v>
      </c>
      <c r="C18">
        <v>2204</v>
      </c>
      <c r="D18" s="7">
        <v>19405</v>
      </c>
      <c r="E18" s="7">
        <v>1000</v>
      </c>
      <c r="F18" s="7">
        <v>18405</v>
      </c>
      <c r="G18" s="7">
        <v>18405</v>
      </c>
      <c r="H18" s="8" t="s">
        <v>4</v>
      </c>
    </row>
    <row r="19" spans="1:8" x14ac:dyDescent="0.25">
      <c r="A19" t="s">
        <v>37</v>
      </c>
      <c r="B19" t="s">
        <v>74</v>
      </c>
      <c r="C19">
        <v>2205</v>
      </c>
      <c r="D19" s="7">
        <v>22155</v>
      </c>
      <c r="E19" s="7">
        <v>2175</v>
      </c>
      <c r="F19" s="7">
        <v>19980</v>
      </c>
      <c r="G19" s="7">
        <v>19980</v>
      </c>
      <c r="H19" s="8" t="s">
        <v>4</v>
      </c>
    </row>
    <row r="20" spans="1:8" x14ac:dyDescent="0.25">
      <c r="A20" t="s">
        <v>39</v>
      </c>
      <c r="B20" t="s">
        <v>75</v>
      </c>
      <c r="C20">
        <v>2206</v>
      </c>
      <c r="D20" s="7">
        <v>36438</v>
      </c>
      <c r="E20" s="7">
        <v>2000</v>
      </c>
      <c r="F20" s="7">
        <v>34438</v>
      </c>
      <c r="G20" s="7">
        <v>34438</v>
      </c>
      <c r="H20" s="8" t="s">
        <v>4</v>
      </c>
    </row>
    <row r="21" spans="1:8" x14ac:dyDescent="0.25">
      <c r="A21" t="s">
        <v>41</v>
      </c>
      <c r="B21" t="s">
        <v>76</v>
      </c>
      <c r="C21">
        <v>2207</v>
      </c>
      <c r="D21" s="7">
        <v>28372.2</v>
      </c>
      <c r="E21" s="7">
        <v>25100</v>
      </c>
      <c r="F21" s="7">
        <v>3272.2</v>
      </c>
      <c r="G21" s="7">
        <v>3272</v>
      </c>
      <c r="H21" s="9">
        <v>-0.2</v>
      </c>
    </row>
    <row r="22" spans="1:8" ht="19.5" customHeight="1" x14ac:dyDescent="0.25">
      <c r="A22" t="s">
        <v>43</v>
      </c>
      <c r="B22" t="s">
        <v>72</v>
      </c>
      <c r="C22">
        <v>2208</v>
      </c>
      <c r="D22" s="7">
        <v>35867</v>
      </c>
      <c r="E22" s="7" t="s">
        <v>4</v>
      </c>
      <c r="F22" s="7">
        <v>35867</v>
      </c>
      <c r="G22" s="7">
        <v>35867</v>
      </c>
      <c r="H22" s="8" t="s">
        <v>4</v>
      </c>
    </row>
    <row r="23" spans="1:8" x14ac:dyDescent="0.25">
      <c r="A23" t="s">
        <v>45</v>
      </c>
      <c r="B23" t="s">
        <v>73</v>
      </c>
      <c r="C23">
        <v>2209</v>
      </c>
      <c r="D23" s="7">
        <v>123607.5</v>
      </c>
      <c r="E23" s="7">
        <v>2900</v>
      </c>
      <c r="F23" s="7">
        <v>120707.5</v>
      </c>
      <c r="G23" s="7">
        <v>120708</v>
      </c>
      <c r="H23" s="8">
        <v>0.5</v>
      </c>
    </row>
    <row r="24" spans="1:8" x14ac:dyDescent="0.25">
      <c r="A24" t="s">
        <v>47</v>
      </c>
      <c r="B24" t="s">
        <v>77</v>
      </c>
      <c r="C24">
        <v>2210</v>
      </c>
      <c r="D24" s="7">
        <v>81954</v>
      </c>
      <c r="E24" s="7">
        <v>2400</v>
      </c>
      <c r="F24" s="7">
        <v>79554</v>
      </c>
      <c r="G24" s="7">
        <v>79554</v>
      </c>
      <c r="H24" s="8" t="s">
        <v>4</v>
      </c>
    </row>
    <row r="25" spans="1:8" x14ac:dyDescent="0.25">
      <c r="A25" t="s">
        <v>49</v>
      </c>
      <c r="B25" t="s">
        <v>76</v>
      </c>
      <c r="C25">
        <v>2211</v>
      </c>
      <c r="D25" s="7">
        <v>26186</v>
      </c>
      <c r="E25" s="7">
        <v>11050</v>
      </c>
      <c r="F25" s="7">
        <v>15136</v>
      </c>
      <c r="G25" s="7">
        <v>15136</v>
      </c>
      <c r="H25" s="8" t="s">
        <v>4</v>
      </c>
    </row>
    <row r="26" spans="1:8" x14ac:dyDescent="0.25">
      <c r="A26" t="s">
        <v>49</v>
      </c>
      <c r="B26" t="s">
        <v>76</v>
      </c>
      <c r="C26">
        <v>2212</v>
      </c>
      <c r="D26" s="7">
        <v>34608</v>
      </c>
      <c r="E26" s="7">
        <v>31744</v>
      </c>
      <c r="F26" s="7">
        <v>2864</v>
      </c>
      <c r="G26" s="7">
        <v>18736</v>
      </c>
      <c r="H26" s="8">
        <v>15872</v>
      </c>
    </row>
    <row r="27" spans="1:8" ht="15.75" customHeight="1" x14ac:dyDescent="0.25">
      <c r="A27" t="s">
        <v>49</v>
      </c>
      <c r="B27" t="s">
        <v>76</v>
      </c>
      <c r="C27">
        <v>2213</v>
      </c>
      <c r="D27" s="7">
        <v>17790</v>
      </c>
      <c r="E27" s="7">
        <v>16570</v>
      </c>
      <c r="F27" s="7">
        <v>1220</v>
      </c>
      <c r="G27" s="7">
        <v>1220</v>
      </c>
      <c r="H27" s="8" t="s">
        <v>4</v>
      </c>
    </row>
    <row r="29" spans="1:8" x14ac:dyDescent="0.25">
      <c r="B29" s="35" t="s">
        <v>78</v>
      </c>
      <c r="C29" s="35"/>
      <c r="D29" s="32" t="s">
        <v>59</v>
      </c>
      <c r="E29" s="10" t="s">
        <v>60</v>
      </c>
      <c r="F29" s="10" t="s">
        <v>61</v>
      </c>
      <c r="G29" s="10" t="s">
        <v>63</v>
      </c>
      <c r="H29" s="10" t="s">
        <v>65</v>
      </c>
    </row>
    <row r="30" spans="1:8" x14ac:dyDescent="0.25">
      <c r="B30" s="33" t="s">
        <v>79</v>
      </c>
      <c r="C30" s="33"/>
      <c r="D30" s="7">
        <f t="shared" ref="D30:H32" si="0">SUM(D4,D10,D16,D22)</f>
        <v>359910.99</v>
      </c>
      <c r="E30" s="7">
        <f t="shared" si="0"/>
        <v>3473</v>
      </c>
      <c r="F30" s="7">
        <f t="shared" si="0"/>
        <v>356437.99</v>
      </c>
      <c r="G30" s="7">
        <f t="shared" si="0"/>
        <v>356438</v>
      </c>
      <c r="H30" s="7">
        <f t="shared" si="0"/>
        <v>0.01</v>
      </c>
    </row>
    <row r="31" spans="1:8" x14ac:dyDescent="0.25">
      <c r="B31" s="33" t="s">
        <v>80</v>
      </c>
      <c r="C31" s="33"/>
      <c r="D31" s="7">
        <f t="shared" si="0"/>
        <v>254577.03</v>
      </c>
      <c r="E31" s="7">
        <f t="shared" si="0"/>
        <v>9741</v>
      </c>
      <c r="F31" s="7">
        <f t="shared" si="0"/>
        <v>244836.03</v>
      </c>
      <c r="G31" s="7">
        <f t="shared" si="0"/>
        <v>244837</v>
      </c>
      <c r="H31" s="7">
        <f t="shared" si="0"/>
        <v>0.97</v>
      </c>
    </row>
    <row r="32" spans="1:8" x14ac:dyDescent="0.25">
      <c r="B32" s="33" t="s">
        <v>81</v>
      </c>
      <c r="C32" s="33"/>
      <c r="D32" s="7">
        <f t="shared" si="0"/>
        <v>140467</v>
      </c>
      <c r="E32" s="7">
        <f t="shared" si="0"/>
        <v>4700</v>
      </c>
      <c r="F32" s="7">
        <f t="shared" si="0"/>
        <v>135767</v>
      </c>
      <c r="G32" s="7">
        <f t="shared" si="0"/>
        <v>135767</v>
      </c>
      <c r="H32" s="7">
        <f t="shared" si="0"/>
        <v>0</v>
      </c>
    </row>
    <row r="33" spans="2:8" x14ac:dyDescent="0.25">
      <c r="B33" s="33" t="s">
        <v>82</v>
      </c>
      <c r="C33" s="33"/>
      <c r="D33" s="7">
        <f>SUM(D7,D13,D19)</f>
        <v>58960</v>
      </c>
      <c r="E33" s="7">
        <f>SUM(E7,E13,E19)</f>
        <v>12782</v>
      </c>
      <c r="F33" s="7">
        <f>SUM(F7,F13,F19)</f>
        <v>46178</v>
      </c>
      <c r="G33" s="7">
        <f>SUM(G7,G13,G19)</f>
        <v>46742</v>
      </c>
      <c r="H33" s="7">
        <f>SUM(H7,H13,H19)</f>
        <v>564</v>
      </c>
    </row>
    <row r="34" spans="2:8" x14ac:dyDescent="0.25">
      <c r="B34" s="33" t="s">
        <v>83</v>
      </c>
      <c r="C34" s="33"/>
      <c r="D34" s="7">
        <f>SUM(D2,D8,D14,D20)</f>
        <v>293234</v>
      </c>
      <c r="E34" s="7">
        <f>SUM(E2,E8,E14,E20)</f>
        <v>7935</v>
      </c>
      <c r="F34" s="7">
        <f>SUM(F2,F8,F14,F20)</f>
        <v>285299</v>
      </c>
      <c r="G34" s="7">
        <f>SUM(G2,G8,G14,G20)</f>
        <v>282410</v>
      </c>
      <c r="H34" s="7">
        <f>SUM(H2,H8,H14,H20)</f>
        <v>-2889</v>
      </c>
    </row>
    <row r="35" spans="2:8" x14ac:dyDescent="0.25">
      <c r="B35" s="33" t="s">
        <v>84</v>
      </c>
      <c r="C35" s="33"/>
      <c r="D35" s="7">
        <f>SUM(D3,D9,D15,D21,D25,D26,D27)</f>
        <v>194553.2</v>
      </c>
      <c r="E35" s="7">
        <f>SUM(E3,E9,E15,E21,E25,E26,E27)</f>
        <v>149464</v>
      </c>
      <c r="F35" s="7">
        <f>SUM(F3,F9,F15,F21,F25,F26,F27)</f>
        <v>45089.2</v>
      </c>
      <c r="G35" s="7">
        <f>SUM(G3,G9,G15,G21,G25,G26,G27)</f>
        <v>56980</v>
      </c>
      <c r="H35" s="7">
        <f>SUM(H3,H9,H15,H21,H25,H26,H27)</f>
        <v>11890.8</v>
      </c>
    </row>
    <row r="36" spans="2:8" x14ac:dyDescent="0.25">
      <c r="B36" s="34" t="s">
        <v>61</v>
      </c>
      <c r="C36" s="34"/>
      <c r="D36" s="8">
        <f>SUM(D30:D35)</f>
        <v>1301702.22</v>
      </c>
      <c r="E36" s="8">
        <f>SUM(E30:E35)</f>
        <v>188095</v>
      </c>
      <c r="F36" s="8">
        <f>SUM(F30:F35)</f>
        <v>1113607.22</v>
      </c>
      <c r="G36" s="8">
        <f>SUM(G30:G35)</f>
        <v>1123174</v>
      </c>
      <c r="H36" s="8">
        <f>SUM(H30:H35)</f>
        <v>9566.7799999999988</v>
      </c>
    </row>
  </sheetData>
  <mergeCells count="8">
    <mergeCell ref="B35:C35"/>
    <mergeCell ref="B36:C36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41"/>
  <sheetViews>
    <sheetView zoomScale="90" zoomScaleNormal="90" workbookViewId="0">
      <selection activeCell="C4" sqref="C4"/>
    </sheetView>
  </sheetViews>
  <sheetFormatPr baseColWidth="10" defaultRowHeight="15" x14ac:dyDescent="0.25"/>
  <cols>
    <col min="1" max="1" width="12.5703125" bestFit="1" customWidth="1"/>
    <col min="2" max="2" width="10.7109375" bestFit="1" customWidth="1"/>
    <col min="3" max="3" width="16.5703125" bestFit="1" customWidth="1"/>
    <col min="4" max="4" width="20.28515625" bestFit="1" customWidth="1"/>
    <col min="5" max="5" width="20" bestFit="1" customWidth="1"/>
  </cols>
  <sheetData>
    <row r="3" spans="1:5" x14ac:dyDescent="0.25">
      <c r="A3" s="16"/>
      <c r="B3" s="16"/>
      <c r="C3" s="16"/>
      <c r="D3" s="16"/>
      <c r="E3" s="16"/>
    </row>
    <row r="4" spans="1:5" x14ac:dyDescent="0.25">
      <c r="A4" s="16"/>
      <c r="B4" s="16"/>
      <c r="C4" s="16" t="s">
        <v>88</v>
      </c>
      <c r="D4" s="16" t="s">
        <v>86</v>
      </c>
      <c r="E4" s="16" t="s">
        <v>87</v>
      </c>
    </row>
    <row r="5" spans="1:5" x14ac:dyDescent="0.25">
      <c r="A5" t="s">
        <v>72</v>
      </c>
      <c r="C5" s="11"/>
      <c r="D5" s="11"/>
      <c r="E5" s="11"/>
    </row>
    <row r="6" spans="1:5" x14ac:dyDescent="0.25">
      <c r="B6" t="s">
        <v>7</v>
      </c>
      <c r="C6" s="7">
        <v>191518</v>
      </c>
      <c r="D6" s="7">
        <v>188095</v>
      </c>
      <c r="E6" s="7">
        <v>0</v>
      </c>
    </row>
    <row r="7" spans="1:5" x14ac:dyDescent="0.25">
      <c r="B7" t="s">
        <v>19</v>
      </c>
      <c r="C7" s="7">
        <v>28419</v>
      </c>
      <c r="D7" s="7">
        <v>28369</v>
      </c>
      <c r="E7" s="7">
        <v>0</v>
      </c>
    </row>
    <row r="8" spans="1:5" x14ac:dyDescent="0.25">
      <c r="B8" t="s">
        <v>31</v>
      </c>
      <c r="C8" s="7">
        <v>104106.99</v>
      </c>
      <c r="D8" s="7">
        <v>104107</v>
      </c>
      <c r="E8" s="7">
        <v>0.01</v>
      </c>
    </row>
    <row r="9" spans="1:5" ht="15.75" thickBot="1" x14ac:dyDescent="0.3">
      <c r="B9" t="s">
        <v>43</v>
      </c>
      <c r="C9" s="7">
        <v>35867</v>
      </c>
      <c r="D9" s="7">
        <v>35867</v>
      </c>
      <c r="E9" s="7">
        <v>0</v>
      </c>
    </row>
    <row r="10" spans="1:5" ht="16.5" thickTop="1" thickBot="1" x14ac:dyDescent="0.3">
      <c r="A10" s="12" t="s">
        <v>89</v>
      </c>
      <c r="B10" s="12"/>
      <c r="C10" s="13">
        <v>359910.99</v>
      </c>
      <c r="D10" s="13">
        <v>356438</v>
      </c>
      <c r="E10" s="13">
        <v>0.01</v>
      </c>
    </row>
    <row r="11" spans="1:5" ht="15.75" thickTop="1" x14ac:dyDescent="0.25">
      <c r="A11" t="s">
        <v>73</v>
      </c>
      <c r="C11" s="7"/>
      <c r="D11" s="7"/>
      <c r="E11" s="7"/>
    </row>
    <row r="12" spans="1:5" x14ac:dyDescent="0.25">
      <c r="B12" t="s">
        <v>9</v>
      </c>
      <c r="C12" s="7">
        <v>70891.53</v>
      </c>
      <c r="D12" s="7">
        <v>66320</v>
      </c>
      <c r="E12" s="7">
        <v>0.47</v>
      </c>
    </row>
    <row r="13" spans="1:5" x14ac:dyDescent="0.25">
      <c r="B13" t="s">
        <v>21</v>
      </c>
      <c r="C13" s="7">
        <v>21970</v>
      </c>
      <c r="D13" s="7">
        <v>19821</v>
      </c>
      <c r="E13" s="7">
        <v>0</v>
      </c>
    </row>
    <row r="14" spans="1:5" x14ac:dyDescent="0.25">
      <c r="B14" t="s">
        <v>33</v>
      </c>
      <c r="C14" s="7">
        <v>38108</v>
      </c>
      <c r="D14" s="7">
        <v>37988</v>
      </c>
      <c r="E14" s="7">
        <v>0</v>
      </c>
    </row>
    <row r="15" spans="1:5" ht="15.75" thickBot="1" x14ac:dyDescent="0.3">
      <c r="B15" t="s">
        <v>45</v>
      </c>
      <c r="C15" s="7">
        <v>123607.5</v>
      </c>
      <c r="D15" s="7">
        <v>120708</v>
      </c>
      <c r="E15" s="7">
        <v>0.5</v>
      </c>
    </row>
    <row r="16" spans="1:5" ht="16.5" thickTop="1" thickBot="1" x14ac:dyDescent="0.3">
      <c r="A16" s="12" t="s">
        <v>89</v>
      </c>
      <c r="B16" s="12"/>
      <c r="C16" s="13">
        <v>254577.03</v>
      </c>
      <c r="D16" s="13">
        <v>244837</v>
      </c>
      <c r="E16" s="13">
        <v>0.97</v>
      </c>
    </row>
    <row r="17" spans="1:5" ht="15.75" thickTop="1" x14ac:dyDescent="0.25">
      <c r="A17" t="s">
        <v>77</v>
      </c>
      <c r="C17" s="7"/>
      <c r="D17" s="7"/>
      <c r="E17" s="7"/>
    </row>
    <row r="18" spans="1:5" x14ac:dyDescent="0.25">
      <c r="B18" t="s">
        <v>11</v>
      </c>
      <c r="C18" s="7">
        <v>21278</v>
      </c>
      <c r="D18" s="7">
        <v>20278</v>
      </c>
      <c r="E18" s="7">
        <v>0</v>
      </c>
    </row>
    <row r="19" spans="1:5" x14ac:dyDescent="0.25">
      <c r="B19" t="s">
        <v>23</v>
      </c>
      <c r="C19" s="7">
        <v>17830</v>
      </c>
      <c r="D19" s="7">
        <v>17530</v>
      </c>
      <c r="E19" s="7">
        <v>0</v>
      </c>
    </row>
    <row r="20" spans="1:5" x14ac:dyDescent="0.25">
      <c r="B20" t="s">
        <v>35</v>
      </c>
      <c r="C20" s="7">
        <v>19405</v>
      </c>
      <c r="D20" s="7">
        <v>18405</v>
      </c>
      <c r="E20" s="7">
        <v>0</v>
      </c>
    </row>
    <row r="21" spans="1:5" ht="15.75" thickBot="1" x14ac:dyDescent="0.3">
      <c r="B21" t="s">
        <v>47</v>
      </c>
      <c r="C21" s="7">
        <v>81954</v>
      </c>
      <c r="D21" s="7">
        <v>79554</v>
      </c>
      <c r="E21" s="7">
        <v>0</v>
      </c>
    </row>
    <row r="22" spans="1:5" ht="16.5" thickTop="1" thickBot="1" x14ac:dyDescent="0.3">
      <c r="A22" s="12" t="s">
        <v>89</v>
      </c>
      <c r="B22" s="12"/>
      <c r="C22" s="13">
        <v>140467</v>
      </c>
      <c r="D22" s="13">
        <v>135767</v>
      </c>
      <c r="E22" s="13">
        <v>0</v>
      </c>
    </row>
    <row r="23" spans="1:5" ht="15.75" thickTop="1" x14ac:dyDescent="0.25">
      <c r="A23" t="s">
        <v>74</v>
      </c>
      <c r="C23" s="7"/>
      <c r="D23" s="7"/>
      <c r="E23" s="7"/>
    </row>
    <row r="24" spans="1:5" x14ac:dyDescent="0.25">
      <c r="B24" t="s">
        <v>13</v>
      </c>
      <c r="C24" s="7">
        <v>19762</v>
      </c>
      <c r="D24" s="7">
        <v>13175</v>
      </c>
      <c r="E24" s="7">
        <v>0</v>
      </c>
    </row>
    <row r="25" spans="1:5" x14ac:dyDescent="0.25">
      <c r="B25" t="s">
        <v>25</v>
      </c>
      <c r="C25" s="7">
        <v>17043</v>
      </c>
      <c r="D25" s="7">
        <v>13587</v>
      </c>
      <c r="E25" s="7">
        <v>564</v>
      </c>
    </row>
    <row r="26" spans="1:5" ht="15.75" thickBot="1" x14ac:dyDescent="0.3">
      <c r="B26" t="s">
        <v>37</v>
      </c>
      <c r="C26" s="7">
        <v>22155</v>
      </c>
      <c r="D26" s="7">
        <v>19980</v>
      </c>
      <c r="E26" s="7">
        <v>0</v>
      </c>
    </row>
    <row r="27" spans="1:5" ht="16.5" thickTop="1" thickBot="1" x14ac:dyDescent="0.3">
      <c r="A27" s="12" t="s">
        <v>89</v>
      </c>
      <c r="B27" s="12"/>
      <c r="C27" s="13">
        <v>58960</v>
      </c>
      <c r="D27" s="13">
        <v>46742</v>
      </c>
      <c r="E27" s="13">
        <v>564</v>
      </c>
    </row>
    <row r="28" spans="1:5" ht="15.75" thickTop="1" x14ac:dyDescent="0.25">
      <c r="A28" t="s">
        <v>75</v>
      </c>
      <c r="C28" s="7"/>
      <c r="D28" s="7"/>
      <c r="E28" s="7"/>
    </row>
    <row r="29" spans="1:5" x14ac:dyDescent="0.25">
      <c r="B29" t="s">
        <v>1</v>
      </c>
      <c r="C29" s="7">
        <v>16318</v>
      </c>
      <c r="D29" s="7">
        <v>9448</v>
      </c>
      <c r="E29" s="7">
        <v>-6870</v>
      </c>
    </row>
    <row r="30" spans="1:5" x14ac:dyDescent="0.25">
      <c r="B30" t="s">
        <v>15</v>
      </c>
      <c r="C30" s="7">
        <v>151113</v>
      </c>
      <c r="D30" s="7">
        <v>147768</v>
      </c>
      <c r="E30" s="7">
        <v>0</v>
      </c>
    </row>
    <row r="31" spans="1:5" x14ac:dyDescent="0.25">
      <c r="B31" t="s">
        <v>27</v>
      </c>
      <c r="C31" s="7">
        <v>89365</v>
      </c>
      <c r="D31" s="7">
        <v>90756</v>
      </c>
      <c r="E31" s="7">
        <v>3981</v>
      </c>
    </row>
    <row r="32" spans="1:5" ht="15.75" thickBot="1" x14ac:dyDescent="0.3">
      <c r="B32" t="s">
        <v>39</v>
      </c>
      <c r="C32" s="7">
        <v>36438</v>
      </c>
      <c r="D32" s="7">
        <v>34438</v>
      </c>
      <c r="E32" s="7">
        <v>0</v>
      </c>
    </row>
    <row r="33" spans="1:5" ht="16.5" thickTop="1" thickBot="1" x14ac:dyDescent="0.3">
      <c r="A33" s="12" t="s">
        <v>89</v>
      </c>
      <c r="B33" s="12"/>
      <c r="C33" s="13">
        <v>293234</v>
      </c>
      <c r="D33" s="13">
        <v>282410</v>
      </c>
      <c r="E33" s="13">
        <v>-2889</v>
      </c>
    </row>
    <row r="34" spans="1:5" ht="15.75" thickTop="1" x14ac:dyDescent="0.25">
      <c r="A34" t="s">
        <v>76</v>
      </c>
      <c r="C34" s="7"/>
      <c r="D34" s="7"/>
      <c r="E34" s="7"/>
    </row>
    <row r="35" spans="1:5" x14ac:dyDescent="0.25">
      <c r="B35" t="s">
        <v>5</v>
      </c>
      <c r="C35" s="7">
        <v>19240</v>
      </c>
      <c r="D35" s="7">
        <v>2740</v>
      </c>
      <c r="E35" s="7">
        <v>0</v>
      </c>
    </row>
    <row r="36" spans="1:5" x14ac:dyDescent="0.25">
      <c r="B36" t="s">
        <v>17</v>
      </c>
      <c r="C36" s="7">
        <v>32815</v>
      </c>
      <c r="D36" s="7">
        <v>1565</v>
      </c>
      <c r="E36" s="7">
        <v>0</v>
      </c>
    </row>
    <row r="37" spans="1:5" x14ac:dyDescent="0.25">
      <c r="B37" t="s">
        <v>29</v>
      </c>
      <c r="C37" s="7">
        <v>35542</v>
      </c>
      <c r="D37" s="7">
        <v>14311</v>
      </c>
      <c r="E37" s="7">
        <v>-3981</v>
      </c>
    </row>
    <row r="38" spans="1:5" x14ac:dyDescent="0.25">
      <c r="B38" t="s">
        <v>41</v>
      </c>
      <c r="C38" s="7">
        <v>28372.2</v>
      </c>
      <c r="D38" s="7">
        <v>3272</v>
      </c>
      <c r="E38" s="7">
        <v>-0.2</v>
      </c>
    </row>
    <row r="39" spans="1:5" ht="15.75" thickBot="1" x14ac:dyDescent="0.3">
      <c r="B39" t="s">
        <v>49</v>
      </c>
      <c r="C39" s="7">
        <v>78584</v>
      </c>
      <c r="D39" s="7">
        <v>35092</v>
      </c>
      <c r="E39" s="7">
        <v>15872</v>
      </c>
    </row>
    <row r="40" spans="1:5" ht="16.5" thickTop="1" thickBot="1" x14ac:dyDescent="0.3">
      <c r="A40" s="14" t="s">
        <v>89</v>
      </c>
      <c r="B40" s="14"/>
      <c r="C40" s="15">
        <v>194553.2</v>
      </c>
      <c r="D40" s="15">
        <v>56980</v>
      </c>
      <c r="E40" s="15">
        <v>11890.8</v>
      </c>
    </row>
    <row r="41" spans="1:5" ht="15.75" thickTop="1" x14ac:dyDescent="0.25">
      <c r="A41" s="16" t="s">
        <v>85</v>
      </c>
      <c r="B41" s="16"/>
      <c r="C41" s="17">
        <v>1301702.22</v>
      </c>
      <c r="D41" s="17">
        <v>1123174</v>
      </c>
      <c r="E41" s="17">
        <v>9566.7799999999988</v>
      </c>
    </row>
  </sheetData>
  <conditionalFormatting sqref="E1:E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{D4A21068-3DE4-4DE2-9A4C-B152383A6DC7}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A21068-3DE4-4DE2-9A4C-B152383A6D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zoomScaleNormal="100" workbookViewId="0">
      <selection activeCell="A12" sqref="A12:C13"/>
    </sheetView>
  </sheetViews>
  <sheetFormatPr baseColWidth="10" defaultRowHeight="15" x14ac:dyDescent="0.25"/>
  <cols>
    <col min="1" max="1" width="20.140625" customWidth="1"/>
    <col min="2" max="2" width="17.28515625" customWidth="1"/>
    <col min="3" max="3" width="13" customWidth="1"/>
  </cols>
  <sheetData>
    <row r="1" spans="1:5" x14ac:dyDescent="0.25">
      <c r="A1" s="19" t="s">
        <v>90</v>
      </c>
      <c r="B1" s="20" t="s">
        <v>91</v>
      </c>
      <c r="C1" s="21" t="s">
        <v>92</v>
      </c>
    </row>
    <row r="2" spans="1:5" x14ac:dyDescent="0.25">
      <c r="A2" s="22" t="s">
        <v>72</v>
      </c>
      <c r="B2" s="23">
        <v>356438</v>
      </c>
      <c r="C2" s="24">
        <f>AVERAGE(B2:B7)</f>
        <v>187195.66666666666</v>
      </c>
    </row>
    <row r="3" spans="1:5" x14ac:dyDescent="0.25">
      <c r="A3" s="22" t="s">
        <v>73</v>
      </c>
      <c r="B3" s="23">
        <v>244837</v>
      </c>
      <c r="C3" s="24">
        <f t="shared" ref="C3:C7" si="0">$C$2</f>
        <v>187195.66666666666</v>
      </c>
    </row>
    <row r="4" spans="1:5" x14ac:dyDescent="0.25">
      <c r="A4" s="22" t="s">
        <v>77</v>
      </c>
      <c r="B4" s="23">
        <v>135767</v>
      </c>
      <c r="C4" s="24">
        <f t="shared" si="0"/>
        <v>187195.66666666666</v>
      </c>
    </row>
    <row r="5" spans="1:5" x14ac:dyDescent="0.25">
      <c r="A5" s="22" t="s">
        <v>74</v>
      </c>
      <c r="B5" s="23">
        <v>46742</v>
      </c>
      <c r="C5" s="24">
        <f t="shared" si="0"/>
        <v>187195.66666666666</v>
      </c>
    </row>
    <row r="6" spans="1:5" x14ac:dyDescent="0.25">
      <c r="A6" s="22" t="s">
        <v>75</v>
      </c>
      <c r="B6" s="23">
        <v>282410</v>
      </c>
      <c r="C6" s="24">
        <f t="shared" si="0"/>
        <v>187195.66666666666</v>
      </c>
    </row>
    <row r="7" spans="1:5" x14ac:dyDescent="0.25">
      <c r="A7" s="25" t="s">
        <v>76</v>
      </c>
      <c r="B7" s="26">
        <v>56980</v>
      </c>
      <c r="C7" s="27">
        <f t="shared" si="0"/>
        <v>187195.66666666666</v>
      </c>
    </row>
    <row r="8" spans="1:5" x14ac:dyDescent="0.25">
      <c r="E8" s="18"/>
    </row>
    <row r="9" spans="1:5" x14ac:dyDescent="0.25">
      <c r="A9" s="28" t="s">
        <v>93</v>
      </c>
      <c r="B9" s="29">
        <f>AVERAGE(B2:B7)</f>
        <v>187195.66666666666</v>
      </c>
    </row>
    <row r="10" spans="1:5" x14ac:dyDescent="0.25">
      <c r="A10" s="28" t="s">
        <v>94</v>
      </c>
      <c r="B10" s="29">
        <f>MAX(B2:B7)</f>
        <v>356438</v>
      </c>
    </row>
    <row r="11" spans="1:5" x14ac:dyDescent="0.25">
      <c r="A11" s="28" t="s">
        <v>95</v>
      </c>
      <c r="B11" s="29">
        <f>MIN(B2:B7)</f>
        <v>46742</v>
      </c>
    </row>
    <row r="12" spans="1:5" x14ac:dyDescent="0.25">
      <c r="A12" s="36" t="s">
        <v>96</v>
      </c>
      <c r="B12" s="36"/>
      <c r="C12" s="37"/>
    </row>
    <row r="13" spans="1:5" x14ac:dyDescent="0.25">
      <c r="A13" s="37"/>
      <c r="B13" s="37"/>
      <c r="C13" s="37"/>
    </row>
  </sheetData>
  <mergeCells count="1">
    <mergeCell ref="A12:C1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 2026</vt:lpstr>
      <vt:lpstr>DIA DE LA SEMANA </vt:lpstr>
      <vt:lpstr>RESUMEN DE LOS DIAS DE LA SEMAN</vt:lpstr>
      <vt:lpstr>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iQuantum</cp:lastModifiedBy>
  <dcterms:created xsi:type="dcterms:W3CDTF">2026-03-07T01:27:53Z</dcterms:created>
  <dcterms:modified xsi:type="dcterms:W3CDTF">2026-03-08T00:31:56Z</dcterms:modified>
</cp:coreProperties>
</file>