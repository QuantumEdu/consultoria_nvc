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A\code\Consultoria-Alimentos\analisis\sin clave\"/>
    </mc:Choice>
  </mc:AlternateContent>
  <xr:revisionPtr revIDLastSave="0" documentId="8_{C0C88708-DE49-489B-BA17-6D80EB889A11}" xr6:coauthVersionLast="47" xr6:coauthVersionMax="47" xr10:uidLastSave="{00000000-0000-0000-0000-000000000000}"/>
  <bookViews>
    <workbookView xWindow="7395" yWindow="4290" windowWidth="23625" windowHeight="15345" firstSheet="2" activeTab="3" xr2:uid="{00000000-000D-0000-FFFF-FFFF00000000}"/>
  </bookViews>
  <sheets>
    <sheet name="ENERO" sheetId="1" r:id="rId1"/>
    <sheet name="DIAS DE LA SEMANA " sheetId="3" r:id="rId2"/>
    <sheet name="RESUMEN DE LOS DIAS DE  SEMANA " sheetId="4" r:id="rId3"/>
    <sheet name="GRAFICA 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5" l="1"/>
  <c r="B10" i="5"/>
  <c r="B9" i="5"/>
  <c r="C2" i="5"/>
  <c r="C3" i="5" s="1"/>
  <c r="H35" i="3"/>
  <c r="G35" i="3"/>
  <c r="F35" i="3"/>
  <c r="E35" i="3"/>
  <c r="D35" i="3"/>
  <c r="H34" i="3"/>
  <c r="G34" i="3"/>
  <c r="F34" i="3"/>
  <c r="E34" i="3"/>
  <c r="D34" i="3"/>
  <c r="H33" i="3"/>
  <c r="G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E28" i="1"/>
  <c r="F28" i="1"/>
  <c r="G28" i="1"/>
  <c r="H28" i="1"/>
  <c r="I28" i="1"/>
  <c r="J28" i="1"/>
  <c r="K28" i="1"/>
  <c r="L28" i="1"/>
  <c r="M28" i="1"/>
  <c r="D36" i="3" l="1"/>
  <c r="F36" i="3"/>
  <c r="G36" i="3"/>
  <c r="E36" i="3"/>
  <c r="H36" i="3"/>
  <c r="C7" i="5"/>
  <c r="C6" i="5"/>
  <c r="C5" i="5"/>
  <c r="C4" i="5"/>
</calcChain>
</file>

<file path=xl/sharedStrings.xml><?xml version="1.0" encoding="utf-8"?>
<sst xmlns="http://schemas.openxmlformats.org/spreadsheetml/2006/main" count="413" uniqueCount="98">
  <si>
    <t/>
  </si>
  <si>
    <t>02/01/2026</t>
  </si>
  <si>
    <t>04:32:09</t>
  </si>
  <si>
    <t>CAJA</t>
  </si>
  <si>
    <t>$0.00</t>
  </si>
  <si>
    <t>03/01/2026</t>
  </si>
  <si>
    <t>06:09:42</t>
  </si>
  <si>
    <t>05/01/2026</t>
  </si>
  <si>
    <t>05:43:58</t>
  </si>
  <si>
    <t>06/01/2026</t>
  </si>
  <si>
    <t>07:28:29</t>
  </si>
  <si>
    <t>07/01/2026</t>
  </si>
  <si>
    <t>07:55:24</t>
  </si>
  <si>
    <t>08/01/2026</t>
  </si>
  <si>
    <t>05:51:13</t>
  </si>
  <si>
    <t>09/01/2026</t>
  </si>
  <si>
    <t>05:58:51</t>
  </si>
  <si>
    <t>10/01/2026</t>
  </si>
  <si>
    <t>05:09:45</t>
  </si>
  <si>
    <t>12/01/2026</t>
  </si>
  <si>
    <t>06:00:30</t>
  </si>
  <si>
    <t>13/01/2026</t>
  </si>
  <si>
    <t>05:59:05</t>
  </si>
  <si>
    <t>14/01/2026</t>
  </si>
  <si>
    <t>05:52:01</t>
  </si>
  <si>
    <t>15/01/2026</t>
  </si>
  <si>
    <t>06:11:51</t>
  </si>
  <si>
    <t>16/01/2026</t>
  </si>
  <si>
    <t>05:54:19</t>
  </si>
  <si>
    <t>17/01/2026</t>
  </si>
  <si>
    <t>04:33:40</t>
  </si>
  <si>
    <t>19/01/2026</t>
  </si>
  <si>
    <t>06:01:41</t>
  </si>
  <si>
    <t>20/01/2026</t>
  </si>
  <si>
    <t>05:52:58</t>
  </si>
  <si>
    <t>21/01/2026</t>
  </si>
  <si>
    <t>07:24:48</t>
  </si>
  <si>
    <t>22/01/2026</t>
  </si>
  <si>
    <t>05:55:59</t>
  </si>
  <si>
    <t>23/01/2026</t>
  </si>
  <si>
    <t>05:50:11</t>
  </si>
  <si>
    <t>26/01/2026</t>
  </si>
  <si>
    <t>09:21:29</t>
  </si>
  <si>
    <t>06:04:32</t>
  </si>
  <si>
    <t>27/01/2026</t>
  </si>
  <si>
    <t>05:58:06</t>
  </si>
  <si>
    <t>28/01/2026</t>
  </si>
  <si>
    <t>06:07:22</t>
  </si>
  <si>
    <t>29/01/2026</t>
  </si>
  <si>
    <t>05:51:07</t>
  </si>
  <si>
    <t>30/01/2026</t>
  </si>
  <si>
    <t>05:54:20</t>
  </si>
  <si>
    <t>31/01/2026</t>
  </si>
  <si>
    <t>04:31:11</t>
  </si>
  <si>
    <t>FECHA</t>
  </si>
  <si>
    <t>N#</t>
  </si>
  <si>
    <t>HORA</t>
  </si>
  <si>
    <t>CAJERO</t>
  </si>
  <si>
    <t>VENTAS</t>
  </si>
  <si>
    <t>COBRANZA</t>
  </si>
  <si>
    <t>INGRESOS</t>
  </si>
  <si>
    <t>EGRESOS</t>
  </si>
  <si>
    <t>TOTAL</t>
  </si>
  <si>
    <t>CREDITO</t>
  </si>
  <si>
    <t>DECLARADO</t>
  </si>
  <si>
    <t>VENTA/CRED</t>
  </si>
  <si>
    <t>DIFERENCIA</t>
  </si>
  <si>
    <t xml:space="preserve">FECHA </t>
  </si>
  <si>
    <t>DIA</t>
  </si>
  <si>
    <t xml:space="preserve">EGRESOS </t>
  </si>
  <si>
    <t xml:space="preserve">TOTAL </t>
  </si>
  <si>
    <t xml:space="preserve">DECLARADO </t>
  </si>
  <si>
    <t xml:space="preserve">DIFERENCIA </t>
  </si>
  <si>
    <t>VIERNES</t>
  </si>
  <si>
    <t>SABADO</t>
  </si>
  <si>
    <t>LUNES</t>
  </si>
  <si>
    <t>MARTES</t>
  </si>
  <si>
    <t>MIERCOLES</t>
  </si>
  <si>
    <t>JUEVES</t>
  </si>
  <si>
    <t>DIAS</t>
  </si>
  <si>
    <t xml:space="preserve">   VENTAS DEL LUNES </t>
  </si>
  <si>
    <t>VENTAS DEL MARTES</t>
  </si>
  <si>
    <t>VENTAS DEL MIERCOLES</t>
  </si>
  <si>
    <t>VENTAS DEL JUEVES</t>
  </si>
  <si>
    <t>VENTAS DEL  VIERNES</t>
  </si>
  <si>
    <t>VENTAS DEL SABADO</t>
  </si>
  <si>
    <t>Total general</t>
  </si>
  <si>
    <t xml:space="preserve">Suma de DECLARADO </t>
  </si>
  <si>
    <t>TOTAL INGRESOS</t>
  </si>
  <si>
    <t xml:space="preserve">Suma de DIFERENCIA </t>
  </si>
  <si>
    <t xml:space="preserve"> </t>
  </si>
  <si>
    <t xml:space="preserve">DIA DE LA SEMANA </t>
  </si>
  <si>
    <t>VENTA DECLARADA</t>
  </si>
  <si>
    <t>(PROMEDIO)</t>
  </si>
  <si>
    <t>PROMEDIO GENERAL</t>
  </si>
  <si>
    <t>VENTA MAXIMA</t>
  </si>
  <si>
    <t>VENTA MINIMA</t>
  </si>
  <si>
    <t>"NOTA LAS CANTIDADES QUE SE MUESTRAN EN LA GRAFICA PERTENECEN A LO QUE SE DECLARO".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</si>
</sst>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_-[$$-80A]* #,##0.00_-;\-[$$-80A]* #,##0.00_-;_-[$$-80A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4" fontId="0" fillId="5" borderId="0" xfId="0" applyNumberFormat="1" applyFill="1" applyProtection="1"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 applyProtection="1">
      <alignment horizontal="right" vertical="center"/>
      <protection locked="0"/>
    </xf>
    <xf numFmtId="164" fontId="4" fillId="0" borderId="0" xfId="0" applyNumberFormat="1" applyFont="1" applyFill="1" applyAlignment="1" applyProtection="1">
      <alignment horizontal="right" vertical="center"/>
      <protection locked="0"/>
    </xf>
    <xf numFmtId="164" fontId="4" fillId="5" borderId="0" xfId="0" applyNumberFormat="1" applyFont="1" applyFill="1" applyAlignment="1" applyProtection="1">
      <alignment horizontal="right"/>
      <protection locked="0"/>
    </xf>
    <xf numFmtId="0" fontId="0" fillId="0" borderId="0" xfId="0" applyNumberFormat="1" applyProtection="1">
      <protection locked="0"/>
    </xf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4" fontId="0" fillId="7" borderId="2" xfId="0" applyNumberFormat="1" applyFill="1" applyBorder="1" applyAlignment="1">
      <alignment horizontal="center"/>
    </xf>
    <xf numFmtId="8" fontId="0" fillId="7" borderId="2" xfId="0" applyNumberFormat="1" applyFill="1" applyBorder="1" applyAlignment="1">
      <alignment horizontal="center"/>
    </xf>
    <xf numFmtId="0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0" fillId="0" borderId="3" xfId="0" applyBorder="1"/>
    <xf numFmtId="0" fontId="0" fillId="0" borderId="4" xfId="0" applyBorder="1"/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0" fillId="0" borderId="2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1" fillId="4" borderId="2" xfId="3" applyBorder="1"/>
    <xf numFmtId="164" fontId="1" fillId="3" borderId="2" xfId="2" applyNumberFormat="1" applyBorder="1"/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5" fillId="2" borderId="5" xfId="1" applyFont="1" applyBorder="1" applyAlignment="1">
      <alignment horizontal="center" wrapText="1"/>
    </xf>
    <xf numFmtId="0" fontId="5" fillId="2" borderId="1" xfId="1" applyFont="1" applyAlignment="1">
      <alignment horizontal="center" wrapText="1"/>
    </xf>
  </cellXfs>
  <cellStyles count="4">
    <cellStyle name="20% - Énfasis6" xfId="2" builtinId="50"/>
    <cellStyle name="60% - Énfasis6" xfId="3" builtinId="52"/>
    <cellStyle name="Normal" xfId="0" builtinId="0"/>
    <cellStyle name="Notas" xfId="1" builtinId="10"/>
  </cellStyles>
  <dxfs count="61">
    <dxf>
      <numFmt numFmtId="164" formatCode="_-[$$-80A]* #,##0.00_-;\-[$$-80A]* #,##0.00_-;_-[$$-80A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ill>
        <patternFill patternType="solid">
          <bgColor theme="9"/>
        </patternFill>
      </fill>
    </dxf>
    <dxf>
      <font>
        <b/>
      </font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</font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alignment horizontal="right" vertical="center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0" formatCode="General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rgb="FF92D050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ill>
        <patternFill patternType="solid">
          <fgColor indexed="64"/>
          <bgColor rgb="FF92D050"/>
        </patternFill>
      </fill>
    </dxf>
    <dxf>
      <protection locked="0" hidden="0"/>
    </dxf>
    <dxf>
      <font>
        <b/>
        <i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 i="0" baseline="0">
                <a:solidFill>
                  <a:schemeClr val="accent6"/>
                </a:solidFill>
                <a:effectLst/>
              </a:rPr>
              <a:t>Análisis Comparativo de Ingreosos Declarados</a:t>
            </a:r>
            <a:endParaRPr lang="es-MX">
              <a:solidFill>
                <a:schemeClr val="accent6"/>
              </a:solidFill>
              <a:effectLst/>
            </a:endParaRPr>
          </a:p>
          <a:p>
            <a:pPr>
              <a:defRPr/>
            </a:pPr>
            <a:r>
              <a:rPr lang="es-MX" sz="1100" b="0" i="1" baseline="0">
                <a:effectLst>
                  <a:outerShdw blurRad="50800" dist="50800" dir="5400000" algn="ctr" rotWithShape="0">
                    <a:schemeClr val="bg1"/>
                  </a:outerShdw>
                </a:effectLst>
              </a:rPr>
              <a:t>Enero 2026. Ventas Totales por Día.</a:t>
            </a:r>
            <a:endParaRPr lang="es-MX" sz="1100">
              <a:effectLst/>
            </a:endParaRPr>
          </a:p>
        </c:rich>
      </c:tx>
      <c:layout>
        <c:manualLayout>
          <c:xMode val="edge"/>
          <c:yMode val="edge"/>
          <c:x val="0.24464285714285713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'!$B$1</c:f>
              <c:strCache>
                <c:ptCount val="1"/>
                <c:pt idx="0">
                  <c:v>VENTA DECLARADA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27-4F71-B9ED-CF14006B0134}"/>
              </c:ext>
            </c:extLst>
          </c:dPt>
          <c:cat>
            <c:strRef>
              <c:f>'GRAFICA '!$A$2:$A$7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'GRAFICA '!$B$2:$B$7</c:f>
              <c:numCache>
                <c:formatCode>_-[$$-80A]* #,##0.00_-;\-[$$-80A]* #,##0.00_-;_-[$$-80A]* "-"??_-;_-@_-</c:formatCode>
                <c:ptCount val="6"/>
                <c:pt idx="0">
                  <c:v>306639</c:v>
                </c:pt>
                <c:pt idx="1">
                  <c:v>146276</c:v>
                </c:pt>
                <c:pt idx="2">
                  <c:v>285787</c:v>
                </c:pt>
                <c:pt idx="3">
                  <c:v>46579</c:v>
                </c:pt>
                <c:pt idx="4">
                  <c:v>66280</c:v>
                </c:pt>
                <c:pt idx="5">
                  <c:v>165117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7-4F71-B9ED-CF14006B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16176"/>
        <c:axId val="507817424"/>
      </c:barChart>
      <c:lineChart>
        <c:grouping val="standard"/>
        <c:varyColors val="0"/>
        <c:ser>
          <c:idx val="1"/>
          <c:order val="1"/>
          <c:tx>
            <c:strRef>
              <c:f>'GRAFICA '!$C$1</c:f>
              <c:strCache>
                <c:ptCount val="1"/>
                <c:pt idx="0">
                  <c:v>(PROMEDIO)</c:v>
                </c:pt>
              </c:strCache>
            </c:strRef>
          </c:tx>
          <c:spPr>
            <a:ln w="28575" cap="rnd">
              <a:solidFill>
                <a:srgbClr val="FF5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'GRAFICA '!$A$2:$A$7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'GRAFICA '!$C$2:$C$7</c:f>
              <c:numCache>
                <c:formatCode>_-[$$-80A]* #,##0.00_-;\-[$$-80A]* #,##0.00_-;_-[$$-80A]* "-"??_-;_-@_-</c:formatCode>
                <c:ptCount val="6"/>
                <c:pt idx="0">
                  <c:v>169446.33333333334</c:v>
                </c:pt>
                <c:pt idx="1">
                  <c:v>169446.33333333334</c:v>
                </c:pt>
                <c:pt idx="2">
                  <c:v>169446.33333333334</c:v>
                </c:pt>
                <c:pt idx="3">
                  <c:v>169446.33333333334</c:v>
                </c:pt>
                <c:pt idx="4">
                  <c:v>169446.33333333334</c:v>
                </c:pt>
                <c:pt idx="5">
                  <c:v>169446.33333333334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7-4F71-B9ED-CF14006B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816176"/>
        <c:axId val="507817424"/>
      </c:lineChart>
      <c:catAx>
        <c:axId val="5078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7817424"/>
        <c:crosses val="autoZero"/>
        <c:auto val="1"/>
        <c:lblAlgn val="ctr"/>
        <c:lblOffset val="100"/>
        <c:noMultiLvlLbl val="0"/>
      </c:catAx>
      <c:valAx>
        <c:axId val="5078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80A]* #,##0.00_-;\-[$$-80A]* #,##0.00_-;_-[$$-8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78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11</xdr:col>
      <xdr:colOff>9525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0E4A11-6C06-4CB2-B215-42A2FCF49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7.843925231478" createdVersion="1" refreshedVersion="7" recordCount="26" upgradeOnRefresh="1" xr:uid="{00000000-000A-0000-FFFF-FFFF15000000}">
  <cacheSource type="worksheet">
    <worksheetSource name="Tabla3"/>
  </cacheSource>
  <cacheFields count="8">
    <cacheField name="FECHA " numFmtId="0">
      <sharedItems count="25">
        <s v="02/01/2026"/>
        <s v="03/01/2026"/>
        <s v="05/01/2026"/>
        <s v="06/01/2026"/>
        <s v="07/01/2026"/>
        <s v="08/01/2026"/>
        <s v="09/01/2026"/>
        <s v="10/01/2026"/>
        <s v="12/01/2026"/>
        <s v="13/01/2026"/>
        <s v="14/01/2026"/>
        <s v="15/01/2026"/>
        <s v="16/01/2026"/>
        <s v="17/01/2026"/>
        <s v="19/01/2026"/>
        <s v="20/01/2026"/>
        <s v="21/01/2026"/>
        <s v="22/01/2026"/>
        <s v="23/01/2026"/>
        <s v="26/01/2026"/>
        <s v="27/01/2026"/>
        <s v="28/01/2026"/>
        <s v="29/01/2026"/>
        <s v="30/01/2026"/>
        <s v="31/01/2026"/>
      </sharedItems>
    </cacheField>
    <cacheField name="DIA" numFmtId="0">
      <sharedItems count="6">
        <s v="VIERNES"/>
        <s v="SABADO"/>
        <s v="LUNES"/>
        <s v="MARTES"/>
        <s v="MIERCOLES"/>
        <s v="JUEVES"/>
      </sharedItems>
    </cacheField>
    <cacheField name="N#" numFmtId="0">
      <sharedItems containsSemiMixedTypes="0" containsString="0" containsNumber="1" containsInteger="1" minValue="1879" maxValue="1904"/>
    </cacheField>
    <cacheField name="INGRESOS" numFmtId="164">
      <sharedItems containsSemiMixedTypes="0" containsString="0" containsNumber="1" minValue="3233" maxValue="140200"/>
    </cacheField>
    <cacheField name="EGRESOS " numFmtId="164">
      <sharedItems containsSemiMixedTypes="0" containsString="0" containsNumber="1" containsInteger="1" minValue="300" maxValue="10600"/>
    </cacheField>
    <cacheField name="TOTAL " numFmtId="164">
      <sharedItems containsSemiMixedTypes="0" containsString="0" containsNumber="1" minValue="1376" maxValue="134949.5"/>
    </cacheField>
    <cacheField name="DECLARADO " numFmtId="164">
      <sharedItems containsSemiMixedTypes="0" containsString="0" containsNumber="1" containsInteger="1" minValue="1376" maxValue="134949"/>
    </cacheField>
    <cacheField name="DIFERENCIA " numFmtId="164">
      <sharedItems containsMixedTypes="1" containsNumber="1" minValue="-2612.56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0"/>
    <x v="0"/>
    <n v="1879"/>
    <n v="25846"/>
    <n v="370"/>
    <n v="25476"/>
    <n v="25476"/>
    <s v="$0.00"/>
  </r>
  <r>
    <x v="1"/>
    <x v="1"/>
    <n v="1880"/>
    <n v="18505"/>
    <n v="9100"/>
    <n v="9405"/>
    <n v="9216"/>
    <n v="-189"/>
  </r>
  <r>
    <x v="2"/>
    <x v="2"/>
    <n v="1881"/>
    <n v="85979"/>
    <n v="800"/>
    <n v="85179"/>
    <n v="85179"/>
    <s v="$0.00"/>
  </r>
  <r>
    <x v="3"/>
    <x v="3"/>
    <n v="1882"/>
    <n v="26556"/>
    <n v="1420"/>
    <n v="25136"/>
    <n v="25136"/>
    <s v="$0.00"/>
  </r>
  <r>
    <x v="4"/>
    <x v="4"/>
    <n v="1883"/>
    <n v="135749.5"/>
    <n v="800"/>
    <n v="134949.5"/>
    <n v="134949"/>
    <n v="-0.5"/>
  </r>
  <r>
    <x v="5"/>
    <x v="5"/>
    <n v="1884"/>
    <n v="32562"/>
    <n v="3619"/>
    <n v="28943"/>
    <n v="28943"/>
    <s v="$0.00"/>
  </r>
  <r>
    <x v="6"/>
    <x v="0"/>
    <n v="1885"/>
    <n v="6775"/>
    <n v="2800"/>
    <n v="3975"/>
    <n v="3628"/>
    <n v="-347"/>
  </r>
  <r>
    <x v="7"/>
    <x v="1"/>
    <n v="1886"/>
    <n v="140200"/>
    <n v="10600"/>
    <n v="129600"/>
    <n v="129600"/>
    <s v="$0.00"/>
  </r>
  <r>
    <x v="8"/>
    <x v="2"/>
    <n v="1887"/>
    <n v="32668"/>
    <n v="300"/>
    <n v="32368"/>
    <n v="32368"/>
    <s v="$0.00"/>
  </r>
  <r>
    <x v="9"/>
    <x v="3"/>
    <n v="1888"/>
    <n v="7637"/>
    <n v="455"/>
    <n v="7182"/>
    <n v="7482"/>
    <n v="300"/>
  </r>
  <r>
    <x v="10"/>
    <x v="4"/>
    <n v="1889"/>
    <n v="16377"/>
    <n v="800"/>
    <n v="15577"/>
    <n v="15162"/>
    <n v="-415"/>
  </r>
  <r>
    <x v="11"/>
    <x v="5"/>
    <n v="1890"/>
    <n v="3233"/>
    <n v="1300"/>
    <n v="1933"/>
    <n v="1713"/>
    <n v="-220"/>
  </r>
  <r>
    <x v="12"/>
    <x v="0"/>
    <n v="1891"/>
    <n v="38787"/>
    <n v="6300"/>
    <n v="32487"/>
    <n v="32487"/>
    <s v="$0.00"/>
  </r>
  <r>
    <x v="13"/>
    <x v="1"/>
    <n v="1892"/>
    <n v="23444"/>
    <n v="8500"/>
    <n v="14944"/>
    <n v="14944"/>
    <s v="$0.00"/>
  </r>
  <r>
    <x v="14"/>
    <x v="2"/>
    <n v="1893"/>
    <n v="123321"/>
    <n v="390"/>
    <n v="122931"/>
    <n v="122931"/>
    <s v="$0.00"/>
  </r>
  <r>
    <x v="15"/>
    <x v="3"/>
    <n v="1894"/>
    <n v="98940.56"/>
    <n v="500"/>
    <n v="98440.56"/>
    <n v="95828"/>
    <n v="-2612.56"/>
  </r>
  <r>
    <x v="16"/>
    <x v="4"/>
    <n v="1895"/>
    <n v="29577"/>
    <n v="600"/>
    <n v="28977"/>
    <n v="28280"/>
    <n v="-697"/>
  </r>
  <r>
    <x v="17"/>
    <x v="5"/>
    <n v="1896"/>
    <n v="12645"/>
    <n v="500"/>
    <n v="12145"/>
    <n v="12145"/>
    <s v="$0.00"/>
  </r>
  <r>
    <x v="18"/>
    <x v="0"/>
    <n v="1897"/>
    <n v="9753"/>
    <n v="6440"/>
    <n v="3313"/>
    <n v="3313"/>
    <s v="$0.00"/>
  </r>
  <r>
    <x v="19"/>
    <x v="2"/>
    <n v="1898"/>
    <n v="17840"/>
    <n v="4050"/>
    <n v="13790"/>
    <n v="13789"/>
    <n v="-1"/>
  </r>
  <r>
    <x v="19"/>
    <x v="2"/>
    <n v="1899"/>
    <n v="56713"/>
    <n v="4340"/>
    <n v="52373"/>
    <n v="52372"/>
    <n v="-1"/>
  </r>
  <r>
    <x v="20"/>
    <x v="3"/>
    <n v="1900"/>
    <n v="18630"/>
    <n v="800"/>
    <n v="17830"/>
    <n v="17830"/>
    <s v="$0.00"/>
  </r>
  <r>
    <x v="21"/>
    <x v="4"/>
    <n v="1901"/>
    <n v="108014"/>
    <n v="550"/>
    <n v="107464"/>
    <n v="107396"/>
    <n v="-68"/>
  </r>
  <r>
    <x v="22"/>
    <x v="5"/>
    <n v="1902"/>
    <n v="6478"/>
    <n v="2700"/>
    <n v="3778"/>
    <n v="3778"/>
    <s v="$0.00"/>
  </r>
  <r>
    <x v="23"/>
    <x v="0"/>
    <n v="1903"/>
    <n v="3306"/>
    <n v="1930"/>
    <n v="1376"/>
    <n v="1376"/>
    <s v="$0.00"/>
  </r>
  <r>
    <x v="24"/>
    <x v="1"/>
    <n v="1904"/>
    <n v="20157"/>
    <n v="8800"/>
    <n v="11357"/>
    <n v="11357"/>
    <s v="$0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7" cacheId="0" applyNumberFormats="0" applyBorderFormats="0" applyFontFormats="0" applyPatternFormats="0" applyAlignmentFormats="0" applyWidthHeightFormats="1" dataCaption="Datos" updatedVersion="7" showDrill="0" showMemberPropertyTips="0" useAutoFormatting="1" itemPrintTitles="1" createdVersion="1" indent="0" showHeaders="0" compact="0" outline="1" outlineData="1" compactData="0" gridDropZones="1">
  <location ref="A1:E40" firstHeaderRow="1" firstDataRow="2" firstDataCol="2"/>
  <pivotFields count="8">
    <pivotField axis="axisRow" compact="0" subtotalTop="0" showAll="0" includeNewItemsIn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ubtotalCaption=" " compact="0" subtotalTop="0" showAll="0" includeNewItemsInFilter="1">
      <items count="7">
        <item x="2"/>
        <item x="3"/>
        <item x="4"/>
        <item x="5"/>
        <item x="0"/>
        <item x="1"/>
        <item t="default"/>
      </items>
    </pivotField>
    <pivotField compact="0" subtotalTop="0" showAll="0" includeNewItemsInFilter="1"/>
    <pivotField dataField="1" compact="0" numFmtId="164" subtotalTop="0" showAll="0" includeNewItemsInFilter="1"/>
    <pivotField compact="0" numFmtId="164" subtotalTop="0" showAll="0" includeNewItemsInFilter="1"/>
    <pivotField compact="0" numFmtId="164" subtotalTop="0" showAll="0" includeNewItemsInFilter="1"/>
    <pivotField dataField="1" compact="0" numFmtId="164" subtotalTop="0" showAll="0" includeNewItemsInFilter="1"/>
    <pivotField dataField="1" compact="0" subtotalTop="0" showAll="0" includeNewItemsInFilter="1"/>
  </pivotFields>
  <rowFields count="2">
    <field x="1"/>
    <field x="0"/>
  </rowFields>
  <rowItems count="38">
    <i>
      <x/>
    </i>
    <i r="1">
      <x v="2"/>
    </i>
    <i r="1">
      <x v="8"/>
    </i>
    <i r="1">
      <x v="14"/>
    </i>
    <i r="1">
      <x v="19"/>
    </i>
    <i t="default">
      <x/>
    </i>
    <i>
      <x v="1"/>
    </i>
    <i r="1">
      <x v="3"/>
    </i>
    <i r="1">
      <x v="9"/>
    </i>
    <i r="1">
      <x v="15"/>
    </i>
    <i r="1">
      <x v="20"/>
    </i>
    <i t="default">
      <x v="1"/>
    </i>
    <i>
      <x v="2"/>
    </i>
    <i r="1">
      <x v="4"/>
    </i>
    <i r="1">
      <x v="10"/>
    </i>
    <i r="1">
      <x v="16"/>
    </i>
    <i r="1">
      <x v="21"/>
    </i>
    <i t="default">
      <x v="2"/>
    </i>
    <i>
      <x v="3"/>
    </i>
    <i r="1">
      <x v="5"/>
    </i>
    <i r="1">
      <x v="11"/>
    </i>
    <i r="1">
      <x v="17"/>
    </i>
    <i r="1">
      <x v="22"/>
    </i>
    <i t="default">
      <x v="3"/>
    </i>
    <i>
      <x v="4"/>
    </i>
    <i r="1">
      <x/>
    </i>
    <i r="1">
      <x v="6"/>
    </i>
    <i r="1">
      <x v="12"/>
    </i>
    <i r="1">
      <x v="18"/>
    </i>
    <i r="1">
      <x v="23"/>
    </i>
    <i t="default">
      <x v="4"/>
    </i>
    <i>
      <x v="5"/>
    </i>
    <i r="1">
      <x v="1"/>
    </i>
    <i r="1">
      <x v="7"/>
    </i>
    <i r="1">
      <x v="13"/>
    </i>
    <i r="1">
      <x v="24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GRESOS" fld="3" baseField="0" baseItem="2"/>
    <dataField name="Suma de DECLARADO " fld="6" baseField="0" baseItem="0"/>
    <dataField name="Suma de DIFERENCIA " fld="7" baseField="0" baseItem="2"/>
  </dataFields>
  <formats count="19">
    <format dxfId="25">
      <pivotArea dataOnly="0" grandRow="1" fieldPosition="0"/>
    </format>
    <format dxfId="24">
      <pivotArea fieldPosition="0">
        <references count="2">
          <reference field="0" count="4">
            <x v="2"/>
            <x v="8"/>
            <x v="14"/>
            <x v="19"/>
          </reference>
          <reference field="1" count="1" selected="0">
            <x v="0"/>
          </reference>
        </references>
      </pivotArea>
    </format>
    <format dxfId="23">
      <pivotArea fieldPosition="0">
        <references count="1">
          <reference field="1" count="1" defaultSubtotal="1">
            <x v="0"/>
          </reference>
        </references>
      </pivotArea>
    </format>
    <format dxfId="22">
      <pivotArea fieldPosition="0">
        <references count="1">
          <reference field="1" count="1">
            <x v="1"/>
          </reference>
        </references>
      </pivotArea>
    </format>
    <format dxfId="21">
      <pivotArea fieldPosition="0">
        <references count="2">
          <reference field="0" count="4">
            <x v="3"/>
            <x v="9"/>
            <x v="15"/>
            <x v="20"/>
          </reference>
          <reference field="1" count="1" selected="0">
            <x v="1"/>
          </reference>
        </references>
      </pivotArea>
    </format>
    <format dxfId="20">
      <pivotArea fieldPosition="0">
        <references count="1">
          <reference field="1" count="1" defaultSubtotal="1">
            <x v="1"/>
          </reference>
        </references>
      </pivotArea>
    </format>
    <format dxfId="19">
      <pivotArea fieldPosition="0">
        <references count="1">
          <reference field="1" count="1">
            <x v="2"/>
          </reference>
        </references>
      </pivotArea>
    </format>
    <format dxfId="18">
      <pivotArea fieldPosition="0">
        <references count="2">
          <reference field="0" count="4">
            <x v="4"/>
            <x v="10"/>
            <x v="16"/>
            <x v="21"/>
          </reference>
          <reference field="1" count="1" selected="0">
            <x v="2"/>
          </reference>
        </references>
      </pivotArea>
    </format>
    <format dxfId="17">
      <pivotArea fieldPosition="0">
        <references count="1">
          <reference field="1" count="1" defaultSubtotal="1">
            <x v="2"/>
          </reference>
        </references>
      </pivotArea>
    </format>
    <format dxfId="16">
      <pivotArea fieldPosition="0">
        <references count="1">
          <reference field="1" count="1">
            <x v="3"/>
          </reference>
        </references>
      </pivotArea>
    </format>
    <format dxfId="15">
      <pivotArea fieldPosition="0">
        <references count="2">
          <reference field="0" count="4">
            <x v="5"/>
            <x v="11"/>
            <x v="17"/>
            <x v="22"/>
          </reference>
          <reference field="1" count="1" selected="0">
            <x v="3"/>
          </reference>
        </references>
      </pivotArea>
    </format>
    <format dxfId="14">
      <pivotArea fieldPosition="0">
        <references count="1">
          <reference field="1" count="1" defaultSubtotal="1">
            <x v="3"/>
          </reference>
        </references>
      </pivotArea>
    </format>
    <format dxfId="13">
      <pivotArea fieldPosition="0">
        <references count="1">
          <reference field="1" count="1">
            <x v="4"/>
          </reference>
        </references>
      </pivotArea>
    </format>
    <format dxfId="12">
      <pivotArea fieldPosition="0">
        <references count="2">
          <reference field="0" count="5">
            <x v="0"/>
            <x v="6"/>
            <x v="12"/>
            <x v="18"/>
            <x v="23"/>
          </reference>
          <reference field="1" count="1" selected="0">
            <x v="4"/>
          </reference>
        </references>
      </pivotArea>
    </format>
    <format dxfId="11">
      <pivotArea fieldPosition="0">
        <references count="1">
          <reference field="1" count="1" defaultSubtotal="1">
            <x v="4"/>
          </reference>
        </references>
      </pivotArea>
    </format>
    <format dxfId="10">
      <pivotArea fieldPosition="0">
        <references count="1">
          <reference field="1" count="1">
            <x v="5"/>
          </reference>
        </references>
      </pivotArea>
    </format>
    <format dxfId="9">
      <pivotArea fieldPosition="0">
        <references count="2">
          <reference field="0" count="4">
            <x v="1"/>
            <x v="7"/>
            <x v="13"/>
            <x v="24"/>
          </reference>
          <reference field="1" count="1" selected="0">
            <x v="5"/>
          </reference>
        </references>
      </pivotArea>
    </format>
    <format dxfId="8">
      <pivotArea fieldPosition="0">
        <references count="1">
          <reference field="1" count="1" defaultSubtotal="1">
            <x v="5"/>
          </reference>
        </references>
      </pivotArea>
    </format>
    <format dxfId="7">
      <pivotArea grandRow="1" outline="0" fieldPosition="0"/>
    </format>
  </formats>
  <pivotTableStyleInfo name="PivotStyleMedium14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M28" totalsRowCount="1" headerRowDxfId="60" dataDxfId="59" totalsRowDxfId="58">
  <autoFilter ref="A1:M27" xr:uid="{00000000-0009-0000-0100-000002000000}"/>
  <tableColumns count="13">
    <tableColumn id="1" xr3:uid="{00000000-0010-0000-0000-000001000000}" name="FECHA" dataDxfId="57" totalsRowDxfId="56"/>
    <tableColumn id="2" xr3:uid="{00000000-0010-0000-0000-000002000000}" name="N#" dataDxfId="55" totalsRowDxfId="54"/>
    <tableColumn id="3" xr3:uid="{00000000-0010-0000-0000-000003000000}" name="HORA" dataDxfId="53" totalsRowDxfId="52"/>
    <tableColumn id="4" xr3:uid="{00000000-0010-0000-0000-000004000000}" name="CAJERO" dataDxfId="51" totalsRowDxfId="50"/>
    <tableColumn id="5" xr3:uid="{00000000-0010-0000-0000-000005000000}" name="VENTAS" totalsRowFunction="sum" dataDxfId="49" totalsRowDxfId="48"/>
    <tableColumn id="6" xr3:uid="{00000000-0010-0000-0000-000006000000}" name="COBRANZA" totalsRowFunction="sum" dataDxfId="47" totalsRowDxfId="46"/>
    <tableColumn id="7" xr3:uid="{00000000-0010-0000-0000-000007000000}" name="INGRESOS" totalsRowFunction="sum" dataDxfId="45" totalsRowDxfId="44"/>
    <tableColumn id="8" xr3:uid="{00000000-0010-0000-0000-000008000000}" name="EGRESOS" totalsRowFunction="sum" dataDxfId="43" totalsRowDxfId="42"/>
    <tableColumn id="9" xr3:uid="{00000000-0010-0000-0000-000009000000}" name="TOTAL" totalsRowFunction="sum" dataDxfId="41" totalsRowDxfId="40"/>
    <tableColumn id="10" xr3:uid="{00000000-0010-0000-0000-00000A000000}" name="CREDITO" totalsRowFunction="sum" dataDxfId="39" totalsRowDxfId="38"/>
    <tableColumn id="11" xr3:uid="{00000000-0010-0000-0000-00000B000000}" name="DECLARADO" totalsRowFunction="sum" dataDxfId="37" totalsRowDxfId="36"/>
    <tableColumn id="12" xr3:uid="{00000000-0010-0000-0000-00000C000000}" name="VENTA/CRED" totalsRowFunction="sum" dataDxfId="35" totalsRowDxfId="34"/>
    <tableColumn id="13" xr3:uid="{00000000-0010-0000-0000-00000D000000}" name="DIFERENCIA" totalsRowFunction="sum" dataDxfId="33" totalsRow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1:H27" totalsRowShown="0" headerRowDxfId="31">
  <autoFilter ref="A1:H27" xr:uid="{00000000-0009-0000-0100-000003000000}"/>
  <tableColumns count="8">
    <tableColumn id="1" xr3:uid="{00000000-0010-0000-0100-000001000000}" name="FECHA "/>
    <tableColumn id="2" xr3:uid="{00000000-0010-0000-0100-000002000000}" name="DIA"/>
    <tableColumn id="3" xr3:uid="{00000000-0010-0000-0100-000003000000}" name="N#"/>
    <tableColumn id="4" xr3:uid="{00000000-0010-0000-0100-000004000000}" name="INGRESOS" dataDxfId="30"/>
    <tableColumn id="5" xr3:uid="{00000000-0010-0000-0100-000005000000}" name="EGRESOS " dataDxfId="29"/>
    <tableColumn id="6" xr3:uid="{00000000-0010-0000-0100-000006000000}" name="TOTAL " dataDxfId="28"/>
    <tableColumn id="7" xr3:uid="{00000000-0010-0000-0100-000007000000}" name="DECLARADO " dataDxfId="27"/>
    <tableColumn id="8" xr3:uid="{00000000-0010-0000-0100-000008000000}" name="DIFERENCIA 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A1:C7" totalsRowShown="0" headerRowDxfId="6" headerRowBorderDxfId="5" tableBorderDxfId="4" totalsRowBorderDxfId="3">
  <autoFilter ref="A1:C7" xr:uid="{00000000-0009-0000-0100-000004000000}"/>
  <tableColumns count="3">
    <tableColumn id="1" xr3:uid="{00000000-0010-0000-0200-000001000000}" name="DIA DE LA SEMANA " dataDxfId="2"/>
    <tableColumn id="2" xr3:uid="{00000000-0010-0000-0200-000002000000}" name="VENTA DECLARADA" dataDxfId="1"/>
    <tableColumn id="3" xr3:uid="{00000000-0010-0000-0200-000003000000}" name="(PROMEDIO)" dataDxfId="0">
      <calculatedColumnFormula>$C$2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opLeftCell="E1" workbookViewId="0">
      <selection activeCell="M2" sqref="M2:M27"/>
    </sheetView>
  </sheetViews>
  <sheetFormatPr baseColWidth="10" defaultRowHeight="15" x14ac:dyDescent="0.25"/>
  <cols>
    <col min="3" max="3" width="11.7109375" bestFit="1" customWidth="1"/>
    <col min="5" max="5" width="13.5703125" customWidth="1"/>
    <col min="6" max="11" width="14.140625" bestFit="1" customWidth="1"/>
    <col min="12" max="12" width="14.5703125" customWidth="1"/>
    <col min="13" max="13" width="14.140625" bestFit="1" customWidth="1"/>
    <col min="14" max="14" width="11.7109375" bestFit="1" customWidth="1"/>
  </cols>
  <sheetData>
    <row r="1" spans="1:14" s="6" customFormat="1" x14ac:dyDescent="0.25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</row>
    <row r="2" spans="1:14" x14ac:dyDescent="0.25">
      <c r="A2" s="2" t="s">
        <v>1</v>
      </c>
      <c r="B2" s="10">
        <v>1879</v>
      </c>
      <c r="C2" s="2" t="s">
        <v>2</v>
      </c>
      <c r="D2" s="2" t="s">
        <v>3</v>
      </c>
      <c r="E2" s="3">
        <v>5846</v>
      </c>
      <c r="F2" s="3">
        <v>20000</v>
      </c>
      <c r="G2" s="3">
        <v>25846</v>
      </c>
      <c r="H2" s="3">
        <v>370</v>
      </c>
      <c r="I2" s="3">
        <v>25476</v>
      </c>
      <c r="J2" s="3">
        <v>5846</v>
      </c>
      <c r="K2" s="3">
        <v>25476</v>
      </c>
      <c r="L2" s="3">
        <v>18000</v>
      </c>
      <c r="M2" s="5" t="s">
        <v>4</v>
      </c>
      <c r="N2" s="1" t="s">
        <v>0</v>
      </c>
    </row>
    <row r="3" spans="1:14" x14ac:dyDescent="0.25">
      <c r="A3" s="2" t="s">
        <v>5</v>
      </c>
      <c r="B3" s="10">
        <v>1880</v>
      </c>
      <c r="C3" s="2" t="s">
        <v>6</v>
      </c>
      <c r="D3" s="2" t="s">
        <v>3</v>
      </c>
      <c r="E3" s="3">
        <v>18505</v>
      </c>
      <c r="F3" s="3" t="s">
        <v>4</v>
      </c>
      <c r="G3" s="3">
        <v>18505</v>
      </c>
      <c r="H3" s="3">
        <v>9100</v>
      </c>
      <c r="I3" s="3">
        <v>9405</v>
      </c>
      <c r="J3" s="3">
        <v>18505</v>
      </c>
      <c r="K3" s="3">
        <v>9216</v>
      </c>
      <c r="L3" s="3">
        <v>139935</v>
      </c>
      <c r="M3" s="7">
        <v>-189</v>
      </c>
      <c r="N3" s="1" t="s">
        <v>0</v>
      </c>
    </row>
    <row r="4" spans="1:14" x14ac:dyDescent="0.25">
      <c r="A4" s="2" t="s">
        <v>7</v>
      </c>
      <c r="B4" s="10">
        <v>1881</v>
      </c>
      <c r="C4" s="2" t="s">
        <v>8</v>
      </c>
      <c r="D4" s="2" t="s">
        <v>3</v>
      </c>
      <c r="E4" s="3">
        <v>9514</v>
      </c>
      <c r="F4" s="3">
        <v>76465</v>
      </c>
      <c r="G4" s="3">
        <v>85979</v>
      </c>
      <c r="H4" s="3">
        <v>800</v>
      </c>
      <c r="I4" s="3">
        <v>85179</v>
      </c>
      <c r="J4" s="3">
        <v>9514</v>
      </c>
      <c r="K4" s="3">
        <v>85179</v>
      </c>
      <c r="L4" s="3" t="s">
        <v>4</v>
      </c>
      <c r="M4" s="5" t="s">
        <v>4</v>
      </c>
      <c r="N4" s="1" t="s">
        <v>0</v>
      </c>
    </row>
    <row r="5" spans="1:14" x14ac:dyDescent="0.25">
      <c r="A5" s="2" t="s">
        <v>9</v>
      </c>
      <c r="B5" s="10">
        <v>1882</v>
      </c>
      <c r="C5" s="2" t="s">
        <v>10</v>
      </c>
      <c r="D5" s="2" t="s">
        <v>3</v>
      </c>
      <c r="E5" s="3">
        <v>26556</v>
      </c>
      <c r="F5" s="3" t="s">
        <v>4</v>
      </c>
      <c r="G5" s="3">
        <v>26556</v>
      </c>
      <c r="H5" s="3">
        <v>1420</v>
      </c>
      <c r="I5" s="3">
        <v>25136</v>
      </c>
      <c r="J5" s="3">
        <v>26556</v>
      </c>
      <c r="K5" s="3">
        <v>25136</v>
      </c>
      <c r="L5" s="3">
        <v>28378</v>
      </c>
      <c r="M5" s="5" t="s">
        <v>4</v>
      </c>
      <c r="N5" s="1" t="s">
        <v>0</v>
      </c>
    </row>
    <row r="6" spans="1:14" x14ac:dyDescent="0.25">
      <c r="A6" s="2" t="s">
        <v>11</v>
      </c>
      <c r="B6" s="10">
        <v>1883</v>
      </c>
      <c r="C6" s="2" t="s">
        <v>12</v>
      </c>
      <c r="D6" s="2" t="s">
        <v>3</v>
      </c>
      <c r="E6" s="3">
        <v>20709.5</v>
      </c>
      <c r="F6" s="3">
        <v>115040</v>
      </c>
      <c r="G6" s="3">
        <v>135749.5</v>
      </c>
      <c r="H6" s="3">
        <v>800</v>
      </c>
      <c r="I6" s="3">
        <v>134949.5</v>
      </c>
      <c r="J6" s="3">
        <v>20709.5</v>
      </c>
      <c r="K6" s="3">
        <v>134949</v>
      </c>
      <c r="L6" s="3">
        <v>17160</v>
      </c>
      <c r="M6" s="7">
        <v>-0.5</v>
      </c>
      <c r="N6" s="1" t="s">
        <v>0</v>
      </c>
    </row>
    <row r="7" spans="1:14" x14ac:dyDescent="0.25">
      <c r="A7" s="2" t="s">
        <v>13</v>
      </c>
      <c r="B7" s="10">
        <v>1884</v>
      </c>
      <c r="C7" s="2" t="s">
        <v>14</v>
      </c>
      <c r="D7" s="2" t="s">
        <v>3</v>
      </c>
      <c r="E7" s="3">
        <v>32562</v>
      </c>
      <c r="F7" s="3" t="s">
        <v>4</v>
      </c>
      <c r="G7" s="3">
        <v>32562</v>
      </c>
      <c r="H7" s="3">
        <v>3619</v>
      </c>
      <c r="I7" s="3">
        <v>28943</v>
      </c>
      <c r="J7" s="3">
        <v>32562</v>
      </c>
      <c r="K7" s="3">
        <v>28943</v>
      </c>
      <c r="L7" s="3">
        <v>12681</v>
      </c>
      <c r="M7" s="5" t="s">
        <v>4</v>
      </c>
      <c r="N7" s="1" t="s">
        <v>0</v>
      </c>
    </row>
    <row r="8" spans="1:14" x14ac:dyDescent="0.25">
      <c r="A8" s="2" t="s">
        <v>15</v>
      </c>
      <c r="B8" s="10">
        <v>1885</v>
      </c>
      <c r="C8" s="2" t="s">
        <v>16</v>
      </c>
      <c r="D8" s="2" t="s">
        <v>3</v>
      </c>
      <c r="E8" s="3">
        <v>6775</v>
      </c>
      <c r="F8" s="3" t="s">
        <v>4</v>
      </c>
      <c r="G8" s="3">
        <v>6775</v>
      </c>
      <c r="H8" s="3">
        <v>2800</v>
      </c>
      <c r="I8" s="3">
        <v>3975</v>
      </c>
      <c r="J8" s="3">
        <v>6775</v>
      </c>
      <c r="K8" s="3">
        <v>3628</v>
      </c>
      <c r="L8" s="3" t="s">
        <v>4</v>
      </c>
      <c r="M8" s="7">
        <v>-347</v>
      </c>
      <c r="N8" s="1" t="s">
        <v>0</v>
      </c>
    </row>
    <row r="9" spans="1:14" x14ac:dyDescent="0.25">
      <c r="A9" s="2" t="s">
        <v>17</v>
      </c>
      <c r="B9" s="10">
        <v>1886</v>
      </c>
      <c r="C9" s="2" t="s">
        <v>18</v>
      </c>
      <c r="D9" s="2" t="s">
        <v>3</v>
      </c>
      <c r="E9" s="3">
        <v>65540</v>
      </c>
      <c r="F9" s="3">
        <v>74660</v>
      </c>
      <c r="G9" s="3">
        <v>140200</v>
      </c>
      <c r="H9" s="3">
        <v>10600</v>
      </c>
      <c r="I9" s="3">
        <v>129600</v>
      </c>
      <c r="J9" s="3">
        <v>65540</v>
      </c>
      <c r="K9" s="3">
        <v>129600</v>
      </c>
      <c r="L9" s="3">
        <v>18000</v>
      </c>
      <c r="M9" s="5" t="s">
        <v>4</v>
      </c>
      <c r="N9" s="1" t="s">
        <v>0</v>
      </c>
    </row>
    <row r="10" spans="1:14" x14ac:dyDescent="0.25">
      <c r="A10" s="2" t="s">
        <v>19</v>
      </c>
      <c r="B10" s="10">
        <v>1887</v>
      </c>
      <c r="C10" s="2" t="s">
        <v>20</v>
      </c>
      <c r="D10" s="2" t="s">
        <v>3</v>
      </c>
      <c r="E10" s="3">
        <v>9875</v>
      </c>
      <c r="F10" s="3">
        <v>22793</v>
      </c>
      <c r="G10" s="3">
        <v>32668</v>
      </c>
      <c r="H10" s="3">
        <v>300</v>
      </c>
      <c r="I10" s="3">
        <v>32368</v>
      </c>
      <c r="J10" s="3">
        <v>9875</v>
      </c>
      <c r="K10" s="3">
        <v>32368</v>
      </c>
      <c r="L10" s="3" t="s">
        <v>4</v>
      </c>
      <c r="M10" s="5" t="s">
        <v>4</v>
      </c>
      <c r="N10" s="1" t="s">
        <v>0</v>
      </c>
    </row>
    <row r="11" spans="1:14" x14ac:dyDescent="0.25">
      <c r="A11" s="2" t="s">
        <v>21</v>
      </c>
      <c r="B11" s="10">
        <v>1888</v>
      </c>
      <c r="C11" s="2" t="s">
        <v>22</v>
      </c>
      <c r="D11" s="2" t="s">
        <v>3</v>
      </c>
      <c r="E11" s="3">
        <v>7637</v>
      </c>
      <c r="F11" s="3" t="s">
        <v>4</v>
      </c>
      <c r="G11" s="3">
        <v>7637</v>
      </c>
      <c r="H11" s="3">
        <v>455</v>
      </c>
      <c r="I11" s="3">
        <v>7182</v>
      </c>
      <c r="J11" s="3">
        <v>7637</v>
      </c>
      <c r="K11" s="3">
        <v>7482</v>
      </c>
      <c r="L11" s="3">
        <v>21450</v>
      </c>
      <c r="M11" s="5">
        <v>300</v>
      </c>
      <c r="N11" s="1" t="s">
        <v>0</v>
      </c>
    </row>
    <row r="12" spans="1:14" x14ac:dyDescent="0.25">
      <c r="A12" s="2" t="s">
        <v>23</v>
      </c>
      <c r="B12" s="10">
        <v>1889</v>
      </c>
      <c r="C12" s="2" t="s">
        <v>24</v>
      </c>
      <c r="D12" s="2" t="s">
        <v>3</v>
      </c>
      <c r="E12" s="3">
        <v>16377</v>
      </c>
      <c r="F12" s="3" t="s">
        <v>4</v>
      </c>
      <c r="G12" s="3">
        <v>16377</v>
      </c>
      <c r="H12" s="3">
        <v>800</v>
      </c>
      <c r="I12" s="3">
        <v>15577</v>
      </c>
      <c r="J12" s="3">
        <v>16377</v>
      </c>
      <c r="K12" s="3">
        <v>15162</v>
      </c>
      <c r="L12" s="3" t="s">
        <v>4</v>
      </c>
      <c r="M12" s="8">
        <v>-415</v>
      </c>
      <c r="N12" s="1" t="s">
        <v>0</v>
      </c>
    </row>
    <row r="13" spans="1:14" x14ac:dyDescent="0.25">
      <c r="A13" s="2" t="s">
        <v>25</v>
      </c>
      <c r="B13" s="10">
        <v>1890</v>
      </c>
      <c r="C13" s="2" t="s">
        <v>26</v>
      </c>
      <c r="D13" s="2" t="s">
        <v>3</v>
      </c>
      <c r="E13" s="3">
        <v>3233</v>
      </c>
      <c r="F13" s="3" t="s">
        <v>4</v>
      </c>
      <c r="G13" s="3">
        <v>3233</v>
      </c>
      <c r="H13" s="3">
        <v>1300</v>
      </c>
      <c r="I13" s="3">
        <v>1933</v>
      </c>
      <c r="J13" s="3">
        <v>3233</v>
      </c>
      <c r="K13" s="3">
        <v>1713</v>
      </c>
      <c r="L13" s="3">
        <v>2010</v>
      </c>
      <c r="M13" s="7">
        <v>-220</v>
      </c>
      <c r="N13" s="1" t="s">
        <v>0</v>
      </c>
    </row>
    <row r="14" spans="1:14" x14ac:dyDescent="0.25">
      <c r="A14" s="2" t="s">
        <v>27</v>
      </c>
      <c r="B14" s="10">
        <v>1891</v>
      </c>
      <c r="C14" s="2" t="s">
        <v>28</v>
      </c>
      <c r="D14" s="2" t="s">
        <v>3</v>
      </c>
      <c r="E14" s="3">
        <v>37315</v>
      </c>
      <c r="F14" s="3">
        <v>1472</v>
      </c>
      <c r="G14" s="3">
        <v>38787</v>
      </c>
      <c r="H14" s="3">
        <v>6300</v>
      </c>
      <c r="I14" s="3">
        <v>32487</v>
      </c>
      <c r="J14" s="3">
        <v>37315</v>
      </c>
      <c r="K14" s="3">
        <v>32487</v>
      </c>
      <c r="L14" s="3">
        <v>16679</v>
      </c>
      <c r="M14" s="5" t="s">
        <v>4</v>
      </c>
      <c r="N14" s="1" t="s">
        <v>0</v>
      </c>
    </row>
    <row r="15" spans="1:14" x14ac:dyDescent="0.25">
      <c r="A15" s="2" t="s">
        <v>29</v>
      </c>
      <c r="B15" s="10">
        <v>1892</v>
      </c>
      <c r="C15" s="2" t="s">
        <v>30</v>
      </c>
      <c r="D15" s="2" t="s">
        <v>3</v>
      </c>
      <c r="E15" s="3">
        <v>8624</v>
      </c>
      <c r="F15" s="3">
        <v>14820</v>
      </c>
      <c r="G15" s="3">
        <v>23444</v>
      </c>
      <c r="H15" s="3">
        <v>8500</v>
      </c>
      <c r="I15" s="3">
        <v>14944</v>
      </c>
      <c r="J15" s="3">
        <v>8624</v>
      </c>
      <c r="K15" s="3">
        <v>14944</v>
      </c>
      <c r="L15" s="3" t="s">
        <v>4</v>
      </c>
      <c r="M15" s="5" t="s">
        <v>4</v>
      </c>
      <c r="N15" s="1" t="s">
        <v>0</v>
      </c>
    </row>
    <row r="16" spans="1:14" x14ac:dyDescent="0.25">
      <c r="A16" s="2" t="s">
        <v>31</v>
      </c>
      <c r="B16" s="10">
        <v>1893</v>
      </c>
      <c r="C16" s="2" t="s">
        <v>32</v>
      </c>
      <c r="D16" s="2" t="s">
        <v>3</v>
      </c>
      <c r="E16" s="3">
        <v>12963</v>
      </c>
      <c r="F16" s="3">
        <v>110358</v>
      </c>
      <c r="G16" s="3">
        <v>123321</v>
      </c>
      <c r="H16" s="3">
        <v>390</v>
      </c>
      <c r="I16" s="3">
        <v>122931</v>
      </c>
      <c r="J16" s="3">
        <v>12963</v>
      </c>
      <c r="K16" s="3">
        <v>122931</v>
      </c>
      <c r="L16" s="3">
        <v>189015</v>
      </c>
      <c r="M16" s="5" t="s">
        <v>4</v>
      </c>
      <c r="N16" s="1" t="s">
        <v>0</v>
      </c>
    </row>
    <row r="17" spans="1:15" x14ac:dyDescent="0.25">
      <c r="A17" s="2" t="s">
        <v>33</v>
      </c>
      <c r="B17" s="10">
        <v>1894</v>
      </c>
      <c r="C17" s="2" t="s">
        <v>34</v>
      </c>
      <c r="D17" s="2" t="s">
        <v>3</v>
      </c>
      <c r="E17" s="3">
        <v>42390.559999999998</v>
      </c>
      <c r="F17" s="3">
        <v>56550</v>
      </c>
      <c r="G17" s="3">
        <v>98940.56</v>
      </c>
      <c r="H17" s="3">
        <v>500</v>
      </c>
      <c r="I17" s="3">
        <v>98440.56</v>
      </c>
      <c r="J17" s="3">
        <v>42390.559999999998</v>
      </c>
      <c r="K17" s="3">
        <v>95828</v>
      </c>
      <c r="L17" s="3">
        <v>12377</v>
      </c>
      <c r="M17" s="7">
        <v>-2612.56</v>
      </c>
      <c r="N17" s="1" t="s">
        <v>0</v>
      </c>
    </row>
    <row r="18" spans="1:15" x14ac:dyDescent="0.25">
      <c r="A18" s="2" t="s">
        <v>35</v>
      </c>
      <c r="B18" s="10">
        <v>1895</v>
      </c>
      <c r="C18" s="2" t="s">
        <v>36</v>
      </c>
      <c r="D18" s="2" t="s">
        <v>3</v>
      </c>
      <c r="E18" s="3">
        <v>29577</v>
      </c>
      <c r="F18" s="3" t="s">
        <v>4</v>
      </c>
      <c r="G18" s="3">
        <v>29577</v>
      </c>
      <c r="H18" s="3">
        <v>600</v>
      </c>
      <c r="I18" s="3">
        <v>28977</v>
      </c>
      <c r="J18" s="3">
        <v>29577</v>
      </c>
      <c r="K18" s="3">
        <v>28280</v>
      </c>
      <c r="L18" s="3" t="s">
        <v>4</v>
      </c>
      <c r="M18" s="7">
        <v>-697</v>
      </c>
      <c r="N18" s="1" t="s">
        <v>0</v>
      </c>
    </row>
    <row r="19" spans="1:15" x14ac:dyDescent="0.25">
      <c r="A19" s="2" t="s">
        <v>37</v>
      </c>
      <c r="B19" s="10">
        <v>1896</v>
      </c>
      <c r="C19" s="2" t="s">
        <v>38</v>
      </c>
      <c r="D19" s="2" t="s">
        <v>3</v>
      </c>
      <c r="E19" s="3">
        <v>7914</v>
      </c>
      <c r="F19" s="3">
        <v>4731</v>
      </c>
      <c r="G19" s="3">
        <v>12645</v>
      </c>
      <c r="H19" s="3">
        <v>500</v>
      </c>
      <c r="I19" s="3">
        <v>12145</v>
      </c>
      <c r="J19" s="3">
        <v>7914</v>
      </c>
      <c r="K19" s="3">
        <v>12145</v>
      </c>
      <c r="L19" s="3">
        <v>3004</v>
      </c>
      <c r="M19" s="5" t="s">
        <v>4</v>
      </c>
      <c r="N19" s="1" t="s">
        <v>0</v>
      </c>
    </row>
    <row r="20" spans="1:15" x14ac:dyDescent="0.25">
      <c r="A20" s="2" t="s">
        <v>39</v>
      </c>
      <c r="B20" s="10">
        <v>1897</v>
      </c>
      <c r="C20" s="2" t="s">
        <v>40</v>
      </c>
      <c r="D20" s="2" t="s">
        <v>3</v>
      </c>
      <c r="E20" s="3">
        <v>9753</v>
      </c>
      <c r="F20" s="3" t="s">
        <v>4</v>
      </c>
      <c r="G20" s="3">
        <v>9753</v>
      </c>
      <c r="H20" s="3">
        <v>6440</v>
      </c>
      <c r="I20" s="3">
        <v>3313</v>
      </c>
      <c r="J20" s="3">
        <v>9753</v>
      </c>
      <c r="K20" s="3">
        <v>3313</v>
      </c>
      <c r="L20" s="3" t="s">
        <v>4</v>
      </c>
      <c r="M20" s="5" t="s">
        <v>4</v>
      </c>
      <c r="N20" s="1" t="s">
        <v>0</v>
      </c>
    </row>
    <row r="21" spans="1:15" x14ac:dyDescent="0.25">
      <c r="A21" s="2" t="s">
        <v>41</v>
      </c>
      <c r="B21" s="10">
        <v>1898</v>
      </c>
      <c r="C21" s="2" t="s">
        <v>42</v>
      </c>
      <c r="D21" s="2" t="s">
        <v>3</v>
      </c>
      <c r="E21" s="3">
        <v>17840</v>
      </c>
      <c r="F21" s="3" t="s">
        <v>4</v>
      </c>
      <c r="G21" s="3">
        <v>17840</v>
      </c>
      <c r="H21" s="3">
        <v>4050</v>
      </c>
      <c r="I21" s="3">
        <v>13790</v>
      </c>
      <c r="J21" s="3">
        <v>17840</v>
      </c>
      <c r="K21" s="3">
        <v>13789</v>
      </c>
      <c r="L21" s="3" t="s">
        <v>4</v>
      </c>
      <c r="M21" s="7">
        <v>-1</v>
      </c>
      <c r="N21" s="1" t="s">
        <v>0</v>
      </c>
    </row>
    <row r="22" spans="1:15" x14ac:dyDescent="0.25">
      <c r="A22" s="2" t="s">
        <v>41</v>
      </c>
      <c r="B22" s="10">
        <v>1899</v>
      </c>
      <c r="C22" s="2" t="s">
        <v>43</v>
      </c>
      <c r="D22" s="2" t="s">
        <v>3</v>
      </c>
      <c r="E22" s="3">
        <v>56713</v>
      </c>
      <c r="F22" s="3" t="s">
        <v>4</v>
      </c>
      <c r="G22" s="3">
        <v>56713</v>
      </c>
      <c r="H22" s="3">
        <v>4340</v>
      </c>
      <c r="I22" s="3">
        <v>52373</v>
      </c>
      <c r="J22" s="3">
        <v>56713</v>
      </c>
      <c r="K22" s="3">
        <v>52372</v>
      </c>
      <c r="L22" s="3">
        <v>159184</v>
      </c>
      <c r="M22" s="7">
        <v>-1</v>
      </c>
      <c r="N22" s="1" t="s">
        <v>0</v>
      </c>
    </row>
    <row r="23" spans="1:15" x14ac:dyDescent="0.25">
      <c r="A23" s="2" t="s">
        <v>44</v>
      </c>
      <c r="B23" s="10">
        <v>1900</v>
      </c>
      <c r="C23" s="2" t="s">
        <v>45</v>
      </c>
      <c r="D23" s="2" t="s">
        <v>3</v>
      </c>
      <c r="E23" s="3">
        <v>18630</v>
      </c>
      <c r="F23" s="3" t="s">
        <v>4</v>
      </c>
      <c r="G23" s="3">
        <v>18630</v>
      </c>
      <c r="H23" s="3">
        <v>800</v>
      </c>
      <c r="I23" s="3">
        <v>17830</v>
      </c>
      <c r="J23" s="3">
        <v>18630</v>
      </c>
      <c r="K23" s="3">
        <v>17830</v>
      </c>
      <c r="L23" s="3">
        <v>93885</v>
      </c>
      <c r="M23" s="5" t="s">
        <v>4</v>
      </c>
      <c r="N23" s="1" t="s">
        <v>0</v>
      </c>
    </row>
    <row r="24" spans="1:15" x14ac:dyDescent="0.25">
      <c r="A24" s="2" t="s">
        <v>46</v>
      </c>
      <c r="B24" s="10">
        <v>1901</v>
      </c>
      <c r="C24" s="2" t="s">
        <v>47</v>
      </c>
      <c r="D24" s="2" t="s">
        <v>3</v>
      </c>
      <c r="E24" s="3">
        <v>31459</v>
      </c>
      <c r="F24" s="3">
        <v>76555</v>
      </c>
      <c r="G24" s="3">
        <v>108014</v>
      </c>
      <c r="H24" s="3">
        <v>550</v>
      </c>
      <c r="I24" s="3">
        <v>107464</v>
      </c>
      <c r="J24" s="3">
        <v>31459</v>
      </c>
      <c r="K24" s="3">
        <v>107396</v>
      </c>
      <c r="L24" s="3" t="s">
        <v>4</v>
      </c>
      <c r="M24" s="7">
        <v>-68</v>
      </c>
      <c r="N24" s="1" t="s">
        <v>0</v>
      </c>
    </row>
    <row r="25" spans="1:15" x14ac:dyDescent="0.25">
      <c r="A25" s="2" t="s">
        <v>48</v>
      </c>
      <c r="B25" s="10">
        <v>1902</v>
      </c>
      <c r="C25" s="2" t="s">
        <v>49</v>
      </c>
      <c r="D25" s="2" t="s">
        <v>3</v>
      </c>
      <c r="E25" s="3">
        <v>6478</v>
      </c>
      <c r="F25" s="3" t="s">
        <v>4</v>
      </c>
      <c r="G25" s="3">
        <v>6478</v>
      </c>
      <c r="H25" s="3">
        <v>2700</v>
      </c>
      <c r="I25" s="3">
        <v>3778</v>
      </c>
      <c r="J25" s="3">
        <v>6478</v>
      </c>
      <c r="K25" s="3">
        <v>3778</v>
      </c>
      <c r="L25" s="3">
        <v>21126</v>
      </c>
      <c r="M25" s="5" t="s">
        <v>4</v>
      </c>
      <c r="N25" s="1" t="s">
        <v>0</v>
      </c>
    </row>
    <row r="26" spans="1:15" x14ac:dyDescent="0.25">
      <c r="A26" s="2" t="s">
        <v>50</v>
      </c>
      <c r="B26" s="10">
        <v>1903</v>
      </c>
      <c r="C26" s="2" t="s">
        <v>51</v>
      </c>
      <c r="D26" s="2" t="s">
        <v>3</v>
      </c>
      <c r="E26" s="3">
        <v>3306</v>
      </c>
      <c r="F26" s="3" t="s">
        <v>4</v>
      </c>
      <c r="G26" s="3">
        <v>3306</v>
      </c>
      <c r="H26" s="3">
        <v>1930</v>
      </c>
      <c r="I26" s="3">
        <v>1376</v>
      </c>
      <c r="J26" s="3">
        <v>3306</v>
      </c>
      <c r="K26" s="3">
        <v>1376</v>
      </c>
      <c r="L26" s="3">
        <v>4451</v>
      </c>
      <c r="M26" s="5" t="s">
        <v>4</v>
      </c>
      <c r="N26" s="1" t="s">
        <v>0</v>
      </c>
    </row>
    <row r="27" spans="1:15" x14ac:dyDescent="0.25">
      <c r="A27" s="2" t="s">
        <v>52</v>
      </c>
      <c r="B27" s="10">
        <v>1904</v>
      </c>
      <c r="C27" s="2" t="s">
        <v>53</v>
      </c>
      <c r="D27" s="2" t="s">
        <v>3</v>
      </c>
      <c r="E27" s="3">
        <v>10157</v>
      </c>
      <c r="F27" s="3">
        <v>10000</v>
      </c>
      <c r="G27" s="3">
        <v>20157</v>
      </c>
      <c r="H27" s="3">
        <v>8800</v>
      </c>
      <c r="I27" s="3">
        <v>11357</v>
      </c>
      <c r="J27" s="3">
        <v>10157</v>
      </c>
      <c r="K27" s="3">
        <v>11357</v>
      </c>
      <c r="L27" s="3">
        <v>17160</v>
      </c>
      <c r="M27" s="5" t="s">
        <v>4</v>
      </c>
      <c r="N27" s="1" t="s">
        <v>0</v>
      </c>
    </row>
    <row r="28" spans="1:15" x14ac:dyDescent="0.25">
      <c r="A28" s="4"/>
      <c r="B28" s="4"/>
      <c r="C28" s="4"/>
      <c r="D28" s="4"/>
      <c r="E28" s="4">
        <f t="shared" ref="E28:M28" si="0">SUBTOTAL(109,E2:E27)</f>
        <v>516249.06</v>
      </c>
      <c r="F28" s="4">
        <f t="shared" si="0"/>
        <v>583444</v>
      </c>
      <c r="G28" s="4">
        <f t="shared" si="0"/>
        <v>1099693.06</v>
      </c>
      <c r="H28" s="4">
        <f t="shared" si="0"/>
        <v>78764</v>
      </c>
      <c r="I28" s="4">
        <f t="shared" si="0"/>
        <v>1020929.06</v>
      </c>
      <c r="J28" s="4">
        <f t="shared" si="0"/>
        <v>516249.06</v>
      </c>
      <c r="K28" s="4">
        <f t="shared" si="0"/>
        <v>1016678</v>
      </c>
      <c r="L28" s="4">
        <f t="shared" si="0"/>
        <v>774495</v>
      </c>
      <c r="M28" s="9">
        <f t="shared" si="0"/>
        <v>-4251.0599999999995</v>
      </c>
      <c r="N28" s="2" t="s">
        <v>0</v>
      </c>
    </row>
    <row r="29" spans="1:15" x14ac:dyDescent="0.25">
      <c r="A29" s="1" t="s">
        <v>0</v>
      </c>
      <c r="O29" s="2" t="s">
        <v>0</v>
      </c>
    </row>
    <row r="30" spans="1:15" x14ac:dyDescent="0.25">
      <c r="A30" s="1" t="s">
        <v>0</v>
      </c>
      <c r="O30" s="2" t="s">
        <v>0</v>
      </c>
    </row>
    <row r="31" spans="1:15" x14ac:dyDescent="0.25">
      <c r="A31" s="1" t="s">
        <v>0</v>
      </c>
      <c r="O31" s="2" t="s">
        <v>0</v>
      </c>
    </row>
    <row r="32" spans="1:15" x14ac:dyDescent="0.25">
      <c r="A32" s="1" t="s">
        <v>0</v>
      </c>
      <c r="O32" s="2" t="s">
        <v>0</v>
      </c>
    </row>
    <row r="33" spans="1:15" x14ac:dyDescent="0.25">
      <c r="A33" s="1" t="s">
        <v>0</v>
      </c>
      <c r="O33" s="2" t="s">
        <v>0</v>
      </c>
    </row>
    <row r="34" spans="1:15" x14ac:dyDescent="0.25">
      <c r="A34" s="1" t="s">
        <v>0</v>
      </c>
      <c r="O34" s="2" t="s">
        <v>0</v>
      </c>
    </row>
    <row r="35" spans="1:15" x14ac:dyDescent="0.25">
      <c r="A35" s="1" t="s">
        <v>0</v>
      </c>
      <c r="O35" s="2" t="s">
        <v>0</v>
      </c>
    </row>
    <row r="36" spans="1:15" x14ac:dyDescent="0.25">
      <c r="A36" s="1" t="s">
        <v>0</v>
      </c>
      <c r="O36" s="2" t="s">
        <v>0</v>
      </c>
    </row>
    <row r="37" spans="1:15" x14ac:dyDescent="0.25">
      <c r="A37" s="1" t="s">
        <v>0</v>
      </c>
      <c r="O37" s="2" t="s">
        <v>0</v>
      </c>
    </row>
    <row r="38" spans="1:15" x14ac:dyDescent="0.25">
      <c r="A38" s="1" t="s">
        <v>0</v>
      </c>
      <c r="O38" s="2" t="s">
        <v>0</v>
      </c>
    </row>
    <row r="39" spans="1:15" x14ac:dyDescent="0.25">
      <c r="A39" s="1" t="s">
        <v>0</v>
      </c>
      <c r="O39" s="2" t="s">
        <v>0</v>
      </c>
    </row>
    <row r="40" spans="1:15" x14ac:dyDescent="0.25">
      <c r="A40" s="1" t="s">
        <v>0</v>
      </c>
      <c r="O40" s="2" t="s">
        <v>0</v>
      </c>
    </row>
    <row r="41" spans="1:15" x14ac:dyDescent="0.25">
      <c r="A41" s="1" t="s">
        <v>0</v>
      </c>
      <c r="O41" s="2" t="s">
        <v>0</v>
      </c>
    </row>
    <row r="42" spans="1:15" x14ac:dyDescent="0.25">
      <c r="A42" s="1" t="s">
        <v>0</v>
      </c>
      <c r="O42" s="2" t="s">
        <v>0</v>
      </c>
    </row>
    <row r="43" spans="1:15" x14ac:dyDescent="0.25">
      <c r="A43" s="1" t="s">
        <v>0</v>
      </c>
      <c r="O43" s="2" t="s">
        <v>0</v>
      </c>
    </row>
    <row r="44" spans="1:15" x14ac:dyDescent="0.25">
      <c r="A44" s="1" t="s">
        <v>0</v>
      </c>
      <c r="O44" s="2" t="s">
        <v>0</v>
      </c>
    </row>
    <row r="45" spans="1:15" x14ac:dyDescent="0.25">
      <c r="A45" s="1" t="s">
        <v>0</v>
      </c>
      <c r="O45" s="2" t="s">
        <v>0</v>
      </c>
    </row>
    <row r="46" spans="1:15" x14ac:dyDescent="0.25">
      <c r="A46" s="1" t="s">
        <v>0</v>
      </c>
      <c r="O46" s="2" t="s">
        <v>0</v>
      </c>
    </row>
    <row r="47" spans="1:15" x14ac:dyDescent="0.25">
      <c r="A47" s="1" t="s">
        <v>0</v>
      </c>
      <c r="O47" s="2" t="s">
        <v>0</v>
      </c>
    </row>
    <row r="48" spans="1:15" x14ac:dyDescent="0.25">
      <c r="A48" s="1" t="s">
        <v>0</v>
      </c>
      <c r="O48" s="2" t="s">
        <v>0</v>
      </c>
    </row>
    <row r="49" spans="1:15" x14ac:dyDescent="0.25">
      <c r="A49" s="1" t="s">
        <v>0</v>
      </c>
      <c r="O49" s="2" t="s">
        <v>0</v>
      </c>
    </row>
    <row r="50" spans="1:15" x14ac:dyDescent="0.25">
      <c r="A50" s="1" t="s">
        <v>0</v>
      </c>
      <c r="O50" s="2" t="s">
        <v>0</v>
      </c>
    </row>
    <row r="51" spans="1:15" x14ac:dyDescent="0.25">
      <c r="A51" s="1" t="s">
        <v>0</v>
      </c>
    </row>
    <row r="52" spans="1:15" x14ac:dyDescent="0.25">
      <c r="A52" s="1" t="s">
        <v>0</v>
      </c>
    </row>
    <row r="53" spans="1:15" x14ac:dyDescent="0.25">
      <c r="A53" s="1" t="s">
        <v>0</v>
      </c>
    </row>
    <row r="54" spans="1:15" x14ac:dyDescent="0.25">
      <c r="A54" s="1" t="s">
        <v>0</v>
      </c>
    </row>
    <row r="55" spans="1:15" x14ac:dyDescent="0.25">
      <c r="A55" s="1" t="s">
        <v>0</v>
      </c>
    </row>
    <row r="56" spans="1:15" x14ac:dyDescent="0.25">
      <c r="A56" s="1" t="s">
        <v>0</v>
      </c>
    </row>
    <row r="57" spans="1:15" x14ac:dyDescent="0.25">
      <c r="A57" s="1" t="s">
        <v>0</v>
      </c>
    </row>
    <row r="58" spans="1:15" x14ac:dyDescent="0.25">
      <c r="A58" s="1" t="s">
        <v>0</v>
      </c>
    </row>
    <row r="59" spans="1:15" x14ac:dyDescent="0.25">
      <c r="A59" s="1" t="s">
        <v>0</v>
      </c>
    </row>
    <row r="60" spans="1:15" x14ac:dyDescent="0.25">
      <c r="A60" s="1" t="s">
        <v>0</v>
      </c>
    </row>
    <row r="61" spans="1:15" x14ac:dyDescent="0.25">
      <c r="A61" s="1" t="s">
        <v>0</v>
      </c>
    </row>
    <row r="62" spans="1:15" x14ac:dyDescent="0.25">
      <c r="A62" s="1" t="s">
        <v>0</v>
      </c>
    </row>
    <row r="63" spans="1:15" x14ac:dyDescent="0.25">
      <c r="A63" s="1" t="s">
        <v>0</v>
      </c>
    </row>
    <row r="64" spans="1:15" x14ac:dyDescent="0.25">
      <c r="A64" s="1" t="s">
        <v>0</v>
      </c>
    </row>
    <row r="65" spans="1:1" x14ac:dyDescent="0.25">
      <c r="A65" s="1" t="s">
        <v>0</v>
      </c>
    </row>
    <row r="66" spans="1:1" x14ac:dyDescent="0.25">
      <c r="A66" s="1" t="s">
        <v>0</v>
      </c>
    </row>
    <row r="67" spans="1:1" x14ac:dyDescent="0.25">
      <c r="A67" s="1" t="s">
        <v>0</v>
      </c>
    </row>
    <row r="68" spans="1:1" x14ac:dyDescent="0.25">
      <c r="A68" s="1" t="s">
        <v>0</v>
      </c>
    </row>
    <row r="69" spans="1:1" x14ac:dyDescent="0.25">
      <c r="A69" s="1" t="s">
        <v>0</v>
      </c>
    </row>
    <row r="70" spans="1:1" x14ac:dyDescent="0.25">
      <c r="A70" s="1" t="s">
        <v>0</v>
      </c>
    </row>
    <row r="71" spans="1:1" x14ac:dyDescent="0.25">
      <c r="A71" s="1" t="s">
        <v>0</v>
      </c>
    </row>
    <row r="72" spans="1:1" x14ac:dyDescent="0.25">
      <c r="A72" s="1" t="s">
        <v>0</v>
      </c>
    </row>
    <row r="73" spans="1:1" x14ac:dyDescent="0.25">
      <c r="A73" s="1" t="s">
        <v>0</v>
      </c>
    </row>
    <row r="74" spans="1:1" x14ac:dyDescent="0.25">
      <c r="A74" s="1" t="s">
        <v>0</v>
      </c>
    </row>
    <row r="75" spans="1:1" x14ac:dyDescent="0.25">
      <c r="A75" s="1" t="s">
        <v>0</v>
      </c>
    </row>
    <row r="76" spans="1:1" x14ac:dyDescent="0.25">
      <c r="A76" s="1" t="s">
        <v>0</v>
      </c>
    </row>
    <row r="77" spans="1:1" x14ac:dyDescent="0.25">
      <c r="A77" s="1" t="s">
        <v>0</v>
      </c>
    </row>
    <row r="78" spans="1:1" x14ac:dyDescent="0.25">
      <c r="A78" s="1" t="s">
        <v>0</v>
      </c>
    </row>
    <row r="79" spans="1:1" x14ac:dyDescent="0.25">
      <c r="A79" s="1" t="s">
        <v>0</v>
      </c>
    </row>
    <row r="80" spans="1:1" x14ac:dyDescent="0.25">
      <c r="A80" s="1" t="s">
        <v>0</v>
      </c>
    </row>
    <row r="81" spans="1:1" x14ac:dyDescent="0.25">
      <c r="A81" s="1" t="s">
        <v>0</v>
      </c>
    </row>
    <row r="82" spans="1:1" x14ac:dyDescent="0.25">
      <c r="A82" s="1" t="s">
        <v>0</v>
      </c>
    </row>
    <row r="83" spans="1:1" x14ac:dyDescent="0.25">
      <c r="A83" s="1" t="s">
        <v>0</v>
      </c>
    </row>
    <row r="84" spans="1:1" x14ac:dyDescent="0.25">
      <c r="A84" s="1" t="s">
        <v>0</v>
      </c>
    </row>
    <row r="85" spans="1:1" x14ac:dyDescent="0.25">
      <c r="A85" s="1" t="s">
        <v>0</v>
      </c>
    </row>
    <row r="86" spans="1:1" x14ac:dyDescent="0.25">
      <c r="A86" s="1" t="s">
        <v>0</v>
      </c>
    </row>
    <row r="87" spans="1:1" x14ac:dyDescent="0.25">
      <c r="A87" s="1" t="s">
        <v>0</v>
      </c>
    </row>
    <row r="88" spans="1:1" x14ac:dyDescent="0.25">
      <c r="A88" s="1" t="s">
        <v>0</v>
      </c>
    </row>
    <row r="89" spans="1:1" x14ac:dyDescent="0.25">
      <c r="A89" s="1" t="s">
        <v>0</v>
      </c>
    </row>
    <row r="90" spans="1:1" x14ac:dyDescent="0.25">
      <c r="A90" s="1" t="s">
        <v>0</v>
      </c>
    </row>
    <row r="91" spans="1:1" x14ac:dyDescent="0.25">
      <c r="A91" s="1" t="s">
        <v>0</v>
      </c>
    </row>
    <row r="92" spans="1:1" x14ac:dyDescent="0.25">
      <c r="A92" s="1" t="s">
        <v>0</v>
      </c>
    </row>
    <row r="93" spans="1:1" x14ac:dyDescent="0.25">
      <c r="A93" s="1" t="s">
        <v>0</v>
      </c>
    </row>
    <row r="94" spans="1:1" x14ac:dyDescent="0.25">
      <c r="A94" s="1" t="s">
        <v>0</v>
      </c>
    </row>
    <row r="95" spans="1:1" x14ac:dyDescent="0.25">
      <c r="A95" s="1" t="s">
        <v>0</v>
      </c>
    </row>
    <row r="96" spans="1:1" x14ac:dyDescent="0.25">
      <c r="A96" s="1" t="s">
        <v>0</v>
      </c>
    </row>
    <row r="97" spans="1:1" x14ac:dyDescent="0.25">
      <c r="A97" s="1" t="s">
        <v>0</v>
      </c>
    </row>
    <row r="98" spans="1:1" x14ac:dyDescent="0.25">
      <c r="A98" s="1" t="s">
        <v>0</v>
      </c>
    </row>
    <row r="99" spans="1:1" x14ac:dyDescent="0.25">
      <c r="A99" s="1" t="s">
        <v>0</v>
      </c>
    </row>
    <row r="100" spans="1:1" x14ac:dyDescent="0.25">
      <c r="A100" s="1" t="s">
        <v>0</v>
      </c>
    </row>
    <row r="101" spans="1:1" x14ac:dyDescent="0.25">
      <c r="A101" s="1" t="s">
        <v>0</v>
      </c>
    </row>
    <row r="102" spans="1:1" x14ac:dyDescent="0.25">
      <c r="A102" s="1" t="s">
        <v>0</v>
      </c>
    </row>
    <row r="103" spans="1:1" x14ac:dyDescent="0.25">
      <c r="A103" s="1" t="s">
        <v>0</v>
      </c>
    </row>
    <row r="104" spans="1:1" x14ac:dyDescent="0.25">
      <c r="A104" s="1" t="s">
        <v>0</v>
      </c>
    </row>
    <row r="105" spans="1:1" x14ac:dyDescent="0.25">
      <c r="A105" s="1" t="s">
        <v>0</v>
      </c>
    </row>
    <row r="106" spans="1:1" x14ac:dyDescent="0.25">
      <c r="A106" s="1" t="s">
        <v>0</v>
      </c>
    </row>
    <row r="107" spans="1:1" x14ac:dyDescent="0.25">
      <c r="A107" s="1" t="s">
        <v>0</v>
      </c>
    </row>
    <row r="108" spans="1:1" x14ac:dyDescent="0.25">
      <c r="A108" s="1" t="s">
        <v>0</v>
      </c>
    </row>
    <row r="109" spans="1:1" x14ac:dyDescent="0.25">
      <c r="A109" s="1" t="s">
        <v>0</v>
      </c>
    </row>
    <row r="110" spans="1:1" x14ac:dyDescent="0.25">
      <c r="A110" s="1" t="s">
        <v>0</v>
      </c>
    </row>
    <row r="111" spans="1:1" x14ac:dyDescent="0.25">
      <c r="A111" s="1" t="s">
        <v>0</v>
      </c>
    </row>
    <row r="112" spans="1:1" x14ac:dyDescent="0.25">
      <c r="A112" s="1" t="s">
        <v>0</v>
      </c>
    </row>
    <row r="113" spans="1:1" x14ac:dyDescent="0.25">
      <c r="A113" s="1" t="s">
        <v>0</v>
      </c>
    </row>
    <row r="114" spans="1:1" x14ac:dyDescent="0.25">
      <c r="A114" s="1" t="s">
        <v>0</v>
      </c>
    </row>
    <row r="115" spans="1:1" x14ac:dyDescent="0.25">
      <c r="A115" s="1" t="s">
        <v>0</v>
      </c>
    </row>
    <row r="116" spans="1:1" x14ac:dyDescent="0.25">
      <c r="A116" s="1" t="s">
        <v>0</v>
      </c>
    </row>
    <row r="117" spans="1:1" x14ac:dyDescent="0.25">
      <c r="A117" s="1" t="s">
        <v>0</v>
      </c>
    </row>
    <row r="118" spans="1:1" x14ac:dyDescent="0.25">
      <c r="A118" s="1" t="s">
        <v>0</v>
      </c>
    </row>
    <row r="119" spans="1:1" x14ac:dyDescent="0.25">
      <c r="A119" s="1" t="s">
        <v>0</v>
      </c>
    </row>
    <row r="120" spans="1:1" x14ac:dyDescent="0.25">
      <c r="A120" s="1" t="s">
        <v>0</v>
      </c>
    </row>
    <row r="121" spans="1:1" x14ac:dyDescent="0.25">
      <c r="A121" s="1" t="s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opLeftCell="A7" workbookViewId="0">
      <selection activeCell="G30" sqref="G30:G35"/>
    </sheetView>
  </sheetViews>
  <sheetFormatPr baseColWidth="10" defaultRowHeight="15" x14ac:dyDescent="0.25"/>
  <cols>
    <col min="3" max="3" width="8.28515625" customWidth="1"/>
    <col min="4" max="4" width="14.140625" bestFit="1" customWidth="1"/>
    <col min="5" max="5" width="11.5703125" bestFit="1" customWidth="1"/>
    <col min="6" max="6" width="14.140625" bestFit="1" customWidth="1"/>
    <col min="7" max="7" width="14.28515625" customWidth="1"/>
    <col min="8" max="8" width="14" customWidth="1"/>
  </cols>
  <sheetData>
    <row r="1" spans="1:8" x14ac:dyDescent="0.25">
      <c r="A1" s="6" t="s">
        <v>67</v>
      </c>
      <c r="B1" s="6" t="s">
        <v>68</v>
      </c>
      <c r="C1" s="6" t="s">
        <v>55</v>
      </c>
      <c r="D1" s="6" t="s">
        <v>60</v>
      </c>
      <c r="E1" s="6" t="s">
        <v>69</v>
      </c>
      <c r="F1" s="6" t="s">
        <v>70</v>
      </c>
      <c r="G1" s="6" t="s">
        <v>71</v>
      </c>
      <c r="H1" s="6" t="s">
        <v>72</v>
      </c>
    </row>
    <row r="2" spans="1:8" x14ac:dyDescent="0.25">
      <c r="A2" t="s">
        <v>1</v>
      </c>
      <c r="B2" t="s">
        <v>73</v>
      </c>
      <c r="C2">
        <v>1879</v>
      </c>
      <c r="D2" s="11">
        <v>25846</v>
      </c>
      <c r="E2" s="11">
        <v>370</v>
      </c>
      <c r="F2" s="11">
        <v>25476</v>
      </c>
      <c r="G2" s="11">
        <v>25476</v>
      </c>
      <c r="H2" s="12" t="s">
        <v>4</v>
      </c>
    </row>
    <row r="3" spans="1:8" x14ac:dyDescent="0.25">
      <c r="A3" t="s">
        <v>5</v>
      </c>
      <c r="B3" t="s">
        <v>74</v>
      </c>
      <c r="C3">
        <v>1880</v>
      </c>
      <c r="D3" s="11">
        <v>18505</v>
      </c>
      <c r="E3" s="11">
        <v>9100</v>
      </c>
      <c r="F3" s="11">
        <v>9405</v>
      </c>
      <c r="G3" s="11">
        <v>9216</v>
      </c>
      <c r="H3" s="13">
        <v>-189</v>
      </c>
    </row>
    <row r="4" spans="1:8" x14ac:dyDescent="0.25">
      <c r="A4" t="s">
        <v>7</v>
      </c>
      <c r="B4" t="s">
        <v>75</v>
      </c>
      <c r="C4">
        <v>1881</v>
      </c>
      <c r="D4" s="11">
        <v>85979</v>
      </c>
      <c r="E4" s="11">
        <v>800</v>
      </c>
      <c r="F4" s="11">
        <v>85179</v>
      </c>
      <c r="G4" s="11">
        <v>85179</v>
      </c>
      <c r="H4" s="12" t="s">
        <v>4</v>
      </c>
    </row>
    <row r="5" spans="1:8" x14ac:dyDescent="0.25">
      <c r="A5" t="s">
        <v>9</v>
      </c>
      <c r="B5" t="s">
        <v>76</v>
      </c>
      <c r="C5">
        <v>1882</v>
      </c>
      <c r="D5" s="11">
        <v>26556</v>
      </c>
      <c r="E5" s="11">
        <v>1420</v>
      </c>
      <c r="F5" s="11">
        <v>25136</v>
      </c>
      <c r="G5" s="11">
        <v>25136</v>
      </c>
      <c r="H5" s="12" t="s">
        <v>4</v>
      </c>
    </row>
    <row r="6" spans="1:8" x14ac:dyDescent="0.25">
      <c r="A6" t="s">
        <v>11</v>
      </c>
      <c r="B6" t="s">
        <v>77</v>
      </c>
      <c r="C6">
        <v>1883</v>
      </c>
      <c r="D6" s="11">
        <v>135749.5</v>
      </c>
      <c r="E6" s="11">
        <v>800</v>
      </c>
      <c r="F6" s="11">
        <v>134949.5</v>
      </c>
      <c r="G6" s="11">
        <v>134949</v>
      </c>
      <c r="H6" s="13">
        <v>-0.5</v>
      </c>
    </row>
    <row r="7" spans="1:8" x14ac:dyDescent="0.25">
      <c r="A7" t="s">
        <v>13</v>
      </c>
      <c r="B7" t="s">
        <v>78</v>
      </c>
      <c r="C7">
        <v>1884</v>
      </c>
      <c r="D7" s="11">
        <v>32562</v>
      </c>
      <c r="E7" s="11">
        <v>3619</v>
      </c>
      <c r="F7" s="11">
        <v>28943</v>
      </c>
      <c r="G7" s="11">
        <v>28943</v>
      </c>
      <c r="H7" s="12" t="s">
        <v>4</v>
      </c>
    </row>
    <row r="8" spans="1:8" x14ac:dyDescent="0.25">
      <c r="A8" t="s">
        <v>15</v>
      </c>
      <c r="B8" t="s">
        <v>73</v>
      </c>
      <c r="C8">
        <v>1885</v>
      </c>
      <c r="D8" s="11">
        <v>6775</v>
      </c>
      <c r="E8" s="11">
        <v>2800</v>
      </c>
      <c r="F8" s="11">
        <v>3975</v>
      </c>
      <c r="G8" s="11">
        <v>3628</v>
      </c>
      <c r="H8" s="13">
        <v>-347</v>
      </c>
    </row>
    <row r="9" spans="1:8" x14ac:dyDescent="0.25">
      <c r="A9" t="s">
        <v>17</v>
      </c>
      <c r="B9" t="s">
        <v>74</v>
      </c>
      <c r="C9">
        <v>1886</v>
      </c>
      <c r="D9" s="11">
        <v>140200</v>
      </c>
      <c r="E9" s="11">
        <v>10600</v>
      </c>
      <c r="F9" s="11">
        <v>129600</v>
      </c>
      <c r="G9" s="11">
        <v>129600</v>
      </c>
      <c r="H9" s="12" t="s">
        <v>4</v>
      </c>
    </row>
    <row r="10" spans="1:8" x14ac:dyDescent="0.25">
      <c r="A10" t="s">
        <v>19</v>
      </c>
      <c r="B10" t="s">
        <v>75</v>
      </c>
      <c r="C10">
        <v>1887</v>
      </c>
      <c r="D10" s="11">
        <v>32668</v>
      </c>
      <c r="E10" s="11">
        <v>300</v>
      </c>
      <c r="F10" s="11">
        <v>32368</v>
      </c>
      <c r="G10" s="11">
        <v>32368</v>
      </c>
      <c r="H10" s="12" t="s">
        <v>4</v>
      </c>
    </row>
    <row r="11" spans="1:8" x14ac:dyDescent="0.25">
      <c r="A11" t="s">
        <v>21</v>
      </c>
      <c r="B11" t="s">
        <v>76</v>
      </c>
      <c r="C11">
        <v>1888</v>
      </c>
      <c r="D11" s="11">
        <v>7637</v>
      </c>
      <c r="E11" s="11">
        <v>455</v>
      </c>
      <c r="F11" s="11">
        <v>7182</v>
      </c>
      <c r="G11" s="11">
        <v>7482</v>
      </c>
      <c r="H11" s="12">
        <v>300</v>
      </c>
    </row>
    <row r="12" spans="1:8" x14ac:dyDescent="0.25">
      <c r="A12" t="s">
        <v>23</v>
      </c>
      <c r="B12" t="s">
        <v>77</v>
      </c>
      <c r="C12">
        <v>1889</v>
      </c>
      <c r="D12" s="11">
        <v>16377</v>
      </c>
      <c r="E12" s="11">
        <v>800</v>
      </c>
      <c r="F12" s="11">
        <v>15577</v>
      </c>
      <c r="G12" s="11">
        <v>15162</v>
      </c>
      <c r="H12" s="13">
        <v>-415</v>
      </c>
    </row>
    <row r="13" spans="1:8" x14ac:dyDescent="0.25">
      <c r="A13" t="s">
        <v>25</v>
      </c>
      <c r="B13" t="s">
        <v>78</v>
      </c>
      <c r="C13">
        <v>1890</v>
      </c>
      <c r="D13" s="11">
        <v>3233</v>
      </c>
      <c r="E13" s="11">
        <v>1300</v>
      </c>
      <c r="F13" s="11">
        <v>1933</v>
      </c>
      <c r="G13" s="11">
        <v>1713</v>
      </c>
      <c r="H13" s="13">
        <v>-220</v>
      </c>
    </row>
    <row r="14" spans="1:8" x14ac:dyDescent="0.25">
      <c r="A14" t="s">
        <v>27</v>
      </c>
      <c r="B14" t="s">
        <v>73</v>
      </c>
      <c r="C14">
        <v>1891</v>
      </c>
      <c r="D14" s="11">
        <v>38787</v>
      </c>
      <c r="E14" s="11">
        <v>6300</v>
      </c>
      <c r="F14" s="11">
        <v>32487</v>
      </c>
      <c r="G14" s="11">
        <v>32487</v>
      </c>
      <c r="H14" s="12" t="s">
        <v>4</v>
      </c>
    </row>
    <row r="15" spans="1:8" x14ac:dyDescent="0.25">
      <c r="A15" t="s">
        <v>29</v>
      </c>
      <c r="B15" t="s">
        <v>74</v>
      </c>
      <c r="C15">
        <v>1892</v>
      </c>
      <c r="D15" s="11">
        <v>23444</v>
      </c>
      <c r="E15" s="11">
        <v>8500</v>
      </c>
      <c r="F15" s="11">
        <v>14944</v>
      </c>
      <c r="G15" s="11">
        <v>14944</v>
      </c>
      <c r="H15" s="12" t="s">
        <v>4</v>
      </c>
    </row>
    <row r="16" spans="1:8" x14ac:dyDescent="0.25">
      <c r="A16" t="s">
        <v>31</v>
      </c>
      <c r="B16" t="s">
        <v>75</v>
      </c>
      <c r="C16">
        <v>1893</v>
      </c>
      <c r="D16" s="11">
        <v>123321</v>
      </c>
      <c r="E16" s="11">
        <v>390</v>
      </c>
      <c r="F16" s="11">
        <v>122931</v>
      </c>
      <c r="G16" s="11">
        <v>122931</v>
      </c>
      <c r="H16" s="12" t="s">
        <v>4</v>
      </c>
    </row>
    <row r="17" spans="1:8" x14ac:dyDescent="0.25">
      <c r="A17" t="s">
        <v>33</v>
      </c>
      <c r="B17" t="s">
        <v>76</v>
      </c>
      <c r="C17">
        <v>1894</v>
      </c>
      <c r="D17" s="11">
        <v>98940.56</v>
      </c>
      <c r="E17" s="11">
        <v>500</v>
      </c>
      <c r="F17" s="11">
        <v>98440.56</v>
      </c>
      <c r="G17" s="11">
        <v>95828</v>
      </c>
      <c r="H17" s="13">
        <v>-2612.56</v>
      </c>
    </row>
    <row r="18" spans="1:8" x14ac:dyDescent="0.25">
      <c r="A18" t="s">
        <v>35</v>
      </c>
      <c r="B18" t="s">
        <v>77</v>
      </c>
      <c r="C18">
        <v>1895</v>
      </c>
      <c r="D18" s="11">
        <v>29577</v>
      </c>
      <c r="E18" s="11">
        <v>600</v>
      </c>
      <c r="F18" s="11">
        <v>28977</v>
      </c>
      <c r="G18" s="11">
        <v>28280</v>
      </c>
      <c r="H18" s="13">
        <v>-697</v>
      </c>
    </row>
    <row r="19" spans="1:8" x14ac:dyDescent="0.25">
      <c r="A19" t="s">
        <v>37</v>
      </c>
      <c r="B19" t="s">
        <v>78</v>
      </c>
      <c r="C19">
        <v>1896</v>
      </c>
      <c r="D19" s="11">
        <v>12645</v>
      </c>
      <c r="E19" s="11">
        <v>500</v>
      </c>
      <c r="F19" s="11">
        <v>12145</v>
      </c>
      <c r="G19" s="11">
        <v>12145</v>
      </c>
      <c r="H19" s="12" t="s">
        <v>4</v>
      </c>
    </row>
    <row r="20" spans="1:8" x14ac:dyDescent="0.25">
      <c r="A20" t="s">
        <v>39</v>
      </c>
      <c r="B20" t="s">
        <v>73</v>
      </c>
      <c r="C20">
        <v>1897</v>
      </c>
      <c r="D20" s="11">
        <v>9753</v>
      </c>
      <c r="E20" s="11">
        <v>6440</v>
      </c>
      <c r="F20" s="11">
        <v>3313</v>
      </c>
      <c r="G20" s="11">
        <v>3313</v>
      </c>
      <c r="H20" s="12" t="s">
        <v>4</v>
      </c>
    </row>
    <row r="21" spans="1:8" x14ac:dyDescent="0.25">
      <c r="A21" t="s">
        <v>41</v>
      </c>
      <c r="B21" t="s">
        <v>75</v>
      </c>
      <c r="C21">
        <v>1898</v>
      </c>
      <c r="D21" s="11">
        <v>17840</v>
      </c>
      <c r="E21" s="11">
        <v>4050</v>
      </c>
      <c r="F21" s="11">
        <v>13790</v>
      </c>
      <c r="G21" s="11">
        <v>13789</v>
      </c>
      <c r="H21" s="13">
        <v>-1</v>
      </c>
    </row>
    <row r="22" spans="1:8" x14ac:dyDescent="0.25">
      <c r="A22" t="s">
        <v>41</v>
      </c>
      <c r="B22" t="s">
        <v>75</v>
      </c>
      <c r="C22">
        <v>1899</v>
      </c>
      <c r="D22" s="11">
        <v>56713</v>
      </c>
      <c r="E22" s="11">
        <v>4340</v>
      </c>
      <c r="F22" s="11">
        <v>52373</v>
      </c>
      <c r="G22" s="11">
        <v>52372</v>
      </c>
      <c r="H22" s="13">
        <v>-1</v>
      </c>
    </row>
    <row r="23" spans="1:8" x14ac:dyDescent="0.25">
      <c r="A23" t="s">
        <v>44</v>
      </c>
      <c r="B23" t="s">
        <v>76</v>
      </c>
      <c r="C23">
        <v>1900</v>
      </c>
      <c r="D23" s="11">
        <v>18630</v>
      </c>
      <c r="E23" s="11">
        <v>800</v>
      </c>
      <c r="F23" s="11">
        <v>17830</v>
      </c>
      <c r="G23" s="11">
        <v>17830</v>
      </c>
      <c r="H23" s="12" t="s">
        <v>4</v>
      </c>
    </row>
    <row r="24" spans="1:8" x14ac:dyDescent="0.25">
      <c r="A24" t="s">
        <v>46</v>
      </c>
      <c r="B24" t="s">
        <v>77</v>
      </c>
      <c r="C24">
        <v>1901</v>
      </c>
      <c r="D24" s="11">
        <v>108014</v>
      </c>
      <c r="E24" s="11">
        <v>550</v>
      </c>
      <c r="F24" s="11">
        <v>107464</v>
      </c>
      <c r="G24" s="11">
        <v>107396</v>
      </c>
      <c r="H24" s="13">
        <v>-68</v>
      </c>
    </row>
    <row r="25" spans="1:8" x14ac:dyDescent="0.25">
      <c r="A25" t="s">
        <v>48</v>
      </c>
      <c r="B25" t="s">
        <v>78</v>
      </c>
      <c r="C25">
        <v>1902</v>
      </c>
      <c r="D25" s="11">
        <v>6478</v>
      </c>
      <c r="E25" s="11">
        <v>2700</v>
      </c>
      <c r="F25" s="11">
        <v>3778</v>
      </c>
      <c r="G25" s="11">
        <v>3778</v>
      </c>
      <c r="H25" s="12" t="s">
        <v>4</v>
      </c>
    </row>
    <row r="26" spans="1:8" x14ac:dyDescent="0.25">
      <c r="A26" t="s">
        <v>50</v>
      </c>
      <c r="B26" t="s">
        <v>73</v>
      </c>
      <c r="C26">
        <v>1903</v>
      </c>
      <c r="D26" s="11">
        <v>3306</v>
      </c>
      <c r="E26" s="11">
        <v>1930</v>
      </c>
      <c r="F26" s="11">
        <v>1376</v>
      </c>
      <c r="G26" s="11">
        <v>1376</v>
      </c>
      <c r="H26" s="12" t="s">
        <v>4</v>
      </c>
    </row>
    <row r="27" spans="1:8" x14ac:dyDescent="0.25">
      <c r="A27" t="s">
        <v>52</v>
      </c>
      <c r="B27" t="s">
        <v>74</v>
      </c>
      <c r="C27">
        <v>1904</v>
      </c>
      <c r="D27" s="11">
        <v>20157</v>
      </c>
      <c r="E27" s="11">
        <v>8800</v>
      </c>
      <c r="F27" s="11">
        <v>11357</v>
      </c>
      <c r="G27" s="11">
        <v>11357</v>
      </c>
      <c r="H27" s="12" t="s">
        <v>4</v>
      </c>
    </row>
    <row r="29" spans="1:8" x14ac:dyDescent="0.25">
      <c r="B29" s="32" t="s">
        <v>79</v>
      </c>
      <c r="C29" s="32"/>
      <c r="D29" s="14" t="s">
        <v>60</v>
      </c>
      <c r="E29" s="15" t="s">
        <v>61</v>
      </c>
      <c r="F29" s="15" t="s">
        <v>62</v>
      </c>
      <c r="G29" s="15" t="s">
        <v>64</v>
      </c>
      <c r="H29" s="15" t="s">
        <v>66</v>
      </c>
    </row>
    <row r="30" spans="1:8" x14ac:dyDescent="0.25">
      <c r="B30" s="30" t="s">
        <v>80</v>
      </c>
      <c r="C30" s="30"/>
      <c r="D30" s="11">
        <f>SUM(D4,D10,D16,D21,D22)</f>
        <v>316521</v>
      </c>
      <c r="E30" s="11">
        <f>SUM(E4,E10,E16,E21,E22)</f>
        <v>9880</v>
      </c>
      <c r="F30" s="11">
        <f>SUM(F4,F10,F16,F21,F22)</f>
        <v>306641</v>
      </c>
      <c r="G30" s="11">
        <f>SUM(G4,G10,G16,G21,G22)</f>
        <v>306639</v>
      </c>
      <c r="H30" s="11">
        <f>SUM(H4,H10,H16,H21,H22)</f>
        <v>-2</v>
      </c>
    </row>
    <row r="31" spans="1:8" x14ac:dyDescent="0.25">
      <c r="B31" s="30" t="s">
        <v>81</v>
      </c>
      <c r="C31" s="30"/>
      <c r="D31" s="11">
        <f t="shared" ref="D31:H33" si="0">SUM(D5,D11,D17,D23)</f>
        <v>151763.56</v>
      </c>
      <c r="E31" s="11">
        <f t="shared" si="0"/>
        <v>3175</v>
      </c>
      <c r="F31" s="11">
        <f t="shared" si="0"/>
        <v>148588.56</v>
      </c>
      <c r="G31" s="11">
        <f t="shared" si="0"/>
        <v>146276</v>
      </c>
      <c r="H31" s="11">
        <f t="shared" si="0"/>
        <v>-2312.56</v>
      </c>
    </row>
    <row r="32" spans="1:8" x14ac:dyDescent="0.25">
      <c r="B32" s="30" t="s">
        <v>82</v>
      </c>
      <c r="C32" s="30"/>
      <c r="D32" s="11">
        <f t="shared" si="0"/>
        <v>289717.5</v>
      </c>
      <c r="E32" s="11">
        <f t="shared" si="0"/>
        <v>2750</v>
      </c>
      <c r="F32" s="11">
        <f t="shared" si="0"/>
        <v>286967.5</v>
      </c>
      <c r="G32" s="11">
        <f t="shared" si="0"/>
        <v>285787</v>
      </c>
      <c r="H32" s="11">
        <f t="shared" si="0"/>
        <v>-1180.5</v>
      </c>
    </row>
    <row r="33" spans="2:8" x14ac:dyDescent="0.25">
      <c r="B33" s="30" t="s">
        <v>83</v>
      </c>
      <c r="C33" s="30"/>
      <c r="D33" s="11">
        <f t="shared" si="0"/>
        <v>54918</v>
      </c>
      <c r="E33" s="11">
        <f t="shared" si="0"/>
        <v>8119</v>
      </c>
      <c r="F33" s="11">
        <f t="shared" si="0"/>
        <v>46799</v>
      </c>
      <c r="G33" s="11">
        <f t="shared" si="0"/>
        <v>46579</v>
      </c>
      <c r="H33" s="11">
        <f t="shared" si="0"/>
        <v>-220</v>
      </c>
    </row>
    <row r="34" spans="2:8" x14ac:dyDescent="0.25">
      <c r="B34" s="30" t="s">
        <v>84</v>
      </c>
      <c r="C34" s="30"/>
      <c r="D34" s="11">
        <f>SUM(D2,D8,D14,D20,D26)</f>
        <v>84467</v>
      </c>
      <c r="E34" s="11">
        <f>SUM(E2,E8,E14,E20,E26)</f>
        <v>17840</v>
      </c>
      <c r="F34" s="11">
        <f>SUM(F2,F8,F14,F20,F26)</f>
        <v>66627</v>
      </c>
      <c r="G34" s="11">
        <f>SUM(G2,G8,G14,G20,G26)</f>
        <v>66280</v>
      </c>
      <c r="H34" s="11">
        <f>SUM(H2,H8,H14,H20,H26)</f>
        <v>-347</v>
      </c>
    </row>
    <row r="35" spans="2:8" x14ac:dyDescent="0.25">
      <c r="B35" s="30" t="s">
        <v>85</v>
      </c>
      <c r="C35" s="30"/>
      <c r="D35" s="11">
        <f>SUM(D3,D9,D15,D27)</f>
        <v>202306</v>
      </c>
      <c r="E35" s="11">
        <f>SUM(E3,E9,E15,E27)</f>
        <v>37000</v>
      </c>
      <c r="F35" s="11">
        <f>SUM(F3,F9,F15,F27)</f>
        <v>165306</v>
      </c>
      <c r="G35" s="11">
        <f>SUM(G3,G9,G15,G27)</f>
        <v>165117</v>
      </c>
      <c r="H35" s="11">
        <f>SUM(H3,H9,H15,H27)</f>
        <v>-189</v>
      </c>
    </row>
    <row r="36" spans="2:8" x14ac:dyDescent="0.25">
      <c r="B36" s="31" t="s">
        <v>62</v>
      </c>
      <c r="C36" s="31"/>
      <c r="D36" s="11">
        <f>SUM(D30:D35)</f>
        <v>1099693.06</v>
      </c>
      <c r="E36" s="11">
        <f>SUM(E30:E35)</f>
        <v>78764</v>
      </c>
      <c r="F36" s="11">
        <f>SUM(F30:F35)</f>
        <v>1020929.06</v>
      </c>
      <c r="G36" s="11">
        <f>SUM(G30:G35)</f>
        <v>1016678</v>
      </c>
      <c r="H36" s="11">
        <f>SUM(H30:H35)</f>
        <v>-4251.0599999999995</v>
      </c>
    </row>
  </sheetData>
  <mergeCells count="8">
    <mergeCell ref="B35:C35"/>
    <mergeCell ref="B36:C36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40"/>
  <sheetViews>
    <sheetView workbookViewId="0">
      <selection activeCell="G25" sqref="G25"/>
    </sheetView>
  </sheetViews>
  <sheetFormatPr baseColWidth="10" defaultRowHeight="15" x14ac:dyDescent="0.25"/>
  <cols>
    <col min="1" max="1" width="12.5703125" bestFit="1" customWidth="1"/>
    <col min="2" max="2" width="10.7109375" bestFit="1" customWidth="1"/>
    <col min="3" max="3" width="16.140625" bestFit="1" customWidth="1"/>
    <col min="4" max="4" width="20.28515625" bestFit="1" customWidth="1"/>
    <col min="5" max="5" width="20" bestFit="1" customWidth="1"/>
  </cols>
  <sheetData>
    <row r="2" spans="1:5" x14ac:dyDescent="0.25">
      <c r="C2" t="s">
        <v>88</v>
      </c>
      <c r="D2" t="s">
        <v>87</v>
      </c>
      <c r="E2" t="s">
        <v>89</v>
      </c>
    </row>
    <row r="3" spans="1:5" x14ac:dyDescent="0.25">
      <c r="A3" t="s">
        <v>75</v>
      </c>
      <c r="C3" s="16"/>
      <c r="D3" s="16"/>
      <c r="E3" s="16"/>
    </row>
    <row r="4" spans="1:5" x14ac:dyDescent="0.25">
      <c r="B4" t="s">
        <v>7</v>
      </c>
      <c r="C4" s="11">
        <v>85979</v>
      </c>
      <c r="D4" s="11">
        <v>85179</v>
      </c>
      <c r="E4" s="11">
        <v>0</v>
      </c>
    </row>
    <row r="5" spans="1:5" x14ac:dyDescent="0.25">
      <c r="B5" t="s">
        <v>19</v>
      </c>
      <c r="C5" s="11">
        <v>32668</v>
      </c>
      <c r="D5" s="11">
        <v>32368</v>
      </c>
      <c r="E5" s="11">
        <v>0</v>
      </c>
    </row>
    <row r="6" spans="1:5" x14ac:dyDescent="0.25">
      <c r="B6" t="s">
        <v>31</v>
      </c>
      <c r="C6" s="11">
        <v>123321</v>
      </c>
      <c r="D6" s="11">
        <v>122931</v>
      </c>
      <c r="E6" s="11">
        <v>0</v>
      </c>
    </row>
    <row r="7" spans="1:5" x14ac:dyDescent="0.25">
      <c r="B7" t="s">
        <v>41</v>
      </c>
      <c r="C7" s="11">
        <v>74553</v>
      </c>
      <c r="D7" s="11">
        <v>66161</v>
      </c>
      <c r="E7" s="11">
        <v>-2</v>
      </c>
    </row>
    <row r="8" spans="1:5" x14ac:dyDescent="0.25">
      <c r="A8" t="s">
        <v>90</v>
      </c>
      <c r="C8" s="11">
        <v>316521</v>
      </c>
      <c r="D8" s="11">
        <v>306639</v>
      </c>
      <c r="E8" s="11">
        <v>-2</v>
      </c>
    </row>
    <row r="9" spans="1:5" x14ac:dyDescent="0.25">
      <c r="A9" t="s">
        <v>76</v>
      </c>
      <c r="C9" s="11"/>
      <c r="D9" s="11"/>
      <c r="E9" s="11"/>
    </row>
    <row r="10" spans="1:5" x14ac:dyDescent="0.25">
      <c r="B10" t="s">
        <v>9</v>
      </c>
      <c r="C10" s="11">
        <v>26556</v>
      </c>
      <c r="D10" s="11">
        <v>25136</v>
      </c>
      <c r="E10" s="11">
        <v>0</v>
      </c>
    </row>
    <row r="11" spans="1:5" x14ac:dyDescent="0.25">
      <c r="B11" t="s">
        <v>21</v>
      </c>
      <c r="C11" s="11">
        <v>7637</v>
      </c>
      <c r="D11" s="11">
        <v>7482</v>
      </c>
      <c r="E11" s="11">
        <v>300</v>
      </c>
    </row>
    <row r="12" spans="1:5" x14ac:dyDescent="0.25">
      <c r="B12" t="s">
        <v>33</v>
      </c>
      <c r="C12" s="11">
        <v>98940.56</v>
      </c>
      <c r="D12" s="11">
        <v>95828</v>
      </c>
      <c r="E12" s="11">
        <v>-2612.56</v>
      </c>
    </row>
    <row r="13" spans="1:5" x14ac:dyDescent="0.25">
      <c r="B13" t="s">
        <v>44</v>
      </c>
      <c r="C13" s="11">
        <v>18630</v>
      </c>
      <c r="D13" s="11">
        <v>17830</v>
      </c>
      <c r="E13" s="11">
        <v>0</v>
      </c>
    </row>
    <row r="14" spans="1:5" x14ac:dyDescent="0.25">
      <c r="A14" t="s">
        <v>90</v>
      </c>
      <c r="C14" s="11">
        <v>151763.56</v>
      </c>
      <c r="D14" s="11">
        <v>146276</v>
      </c>
      <c r="E14" s="11">
        <v>-2312.56</v>
      </c>
    </row>
    <row r="15" spans="1:5" x14ac:dyDescent="0.25">
      <c r="A15" t="s">
        <v>77</v>
      </c>
      <c r="C15" s="11"/>
      <c r="D15" s="11"/>
      <c r="E15" s="11"/>
    </row>
    <row r="16" spans="1:5" x14ac:dyDescent="0.25">
      <c r="B16" t="s">
        <v>11</v>
      </c>
      <c r="C16" s="11">
        <v>135749.5</v>
      </c>
      <c r="D16" s="11">
        <v>134949</v>
      </c>
      <c r="E16" s="11">
        <v>-0.5</v>
      </c>
    </row>
    <row r="17" spans="1:5" x14ac:dyDescent="0.25">
      <c r="B17" t="s">
        <v>23</v>
      </c>
      <c r="C17" s="11">
        <v>16377</v>
      </c>
      <c r="D17" s="11">
        <v>15162</v>
      </c>
      <c r="E17" s="11">
        <v>-415</v>
      </c>
    </row>
    <row r="18" spans="1:5" x14ac:dyDescent="0.25">
      <c r="B18" t="s">
        <v>35</v>
      </c>
      <c r="C18" s="11">
        <v>29577</v>
      </c>
      <c r="D18" s="11">
        <v>28280</v>
      </c>
      <c r="E18" s="11">
        <v>-697</v>
      </c>
    </row>
    <row r="19" spans="1:5" x14ac:dyDescent="0.25">
      <c r="B19" t="s">
        <v>46</v>
      </c>
      <c r="C19" s="11">
        <v>108014</v>
      </c>
      <c r="D19" s="11">
        <v>107396</v>
      </c>
      <c r="E19" s="11">
        <v>-68</v>
      </c>
    </row>
    <row r="20" spans="1:5" x14ac:dyDescent="0.25">
      <c r="A20" t="s">
        <v>90</v>
      </c>
      <c r="C20" s="11">
        <v>289717.5</v>
      </c>
      <c r="D20" s="11">
        <v>285787</v>
      </c>
      <c r="E20" s="11">
        <v>-1180.5</v>
      </c>
    </row>
    <row r="21" spans="1:5" x14ac:dyDescent="0.25">
      <c r="A21" t="s">
        <v>78</v>
      </c>
      <c r="C21" s="11"/>
      <c r="D21" s="11"/>
      <c r="E21" s="11"/>
    </row>
    <row r="22" spans="1:5" x14ac:dyDescent="0.25">
      <c r="B22" t="s">
        <v>13</v>
      </c>
      <c r="C22" s="11">
        <v>32562</v>
      </c>
      <c r="D22" s="11">
        <v>28943</v>
      </c>
      <c r="E22" s="11">
        <v>0</v>
      </c>
    </row>
    <row r="23" spans="1:5" x14ac:dyDescent="0.25">
      <c r="B23" t="s">
        <v>25</v>
      </c>
      <c r="C23" s="11">
        <v>3233</v>
      </c>
      <c r="D23" s="11">
        <v>1713</v>
      </c>
      <c r="E23" s="11">
        <v>-220</v>
      </c>
    </row>
    <row r="24" spans="1:5" x14ac:dyDescent="0.25">
      <c r="B24" t="s">
        <v>37</v>
      </c>
      <c r="C24" s="11">
        <v>12645</v>
      </c>
      <c r="D24" s="11">
        <v>12145</v>
      </c>
      <c r="E24" s="11">
        <v>0</v>
      </c>
    </row>
    <row r="25" spans="1:5" x14ac:dyDescent="0.25">
      <c r="B25" t="s">
        <v>48</v>
      </c>
      <c r="C25" s="11">
        <v>6478</v>
      </c>
      <c r="D25" s="11">
        <v>3778</v>
      </c>
      <c r="E25" s="11">
        <v>0</v>
      </c>
    </row>
    <row r="26" spans="1:5" x14ac:dyDescent="0.25">
      <c r="A26" t="s">
        <v>90</v>
      </c>
      <c r="C26" s="11">
        <v>54918</v>
      </c>
      <c r="D26" s="11">
        <v>46579</v>
      </c>
      <c r="E26" s="11">
        <v>-220</v>
      </c>
    </row>
    <row r="27" spans="1:5" x14ac:dyDescent="0.25">
      <c r="A27" t="s">
        <v>73</v>
      </c>
      <c r="C27" s="11"/>
      <c r="D27" s="11"/>
      <c r="E27" s="11"/>
    </row>
    <row r="28" spans="1:5" x14ac:dyDescent="0.25">
      <c r="B28" t="s">
        <v>1</v>
      </c>
      <c r="C28" s="11">
        <v>25846</v>
      </c>
      <c r="D28" s="11">
        <v>25476</v>
      </c>
      <c r="E28" s="11">
        <v>0</v>
      </c>
    </row>
    <row r="29" spans="1:5" x14ac:dyDescent="0.25">
      <c r="B29" t="s">
        <v>15</v>
      </c>
      <c r="C29" s="11">
        <v>6775</v>
      </c>
      <c r="D29" s="11">
        <v>3628</v>
      </c>
      <c r="E29" s="11">
        <v>-347</v>
      </c>
    </row>
    <row r="30" spans="1:5" x14ac:dyDescent="0.25">
      <c r="B30" t="s">
        <v>27</v>
      </c>
      <c r="C30" s="11">
        <v>38787</v>
      </c>
      <c r="D30" s="11">
        <v>32487</v>
      </c>
      <c r="E30" s="11">
        <v>0</v>
      </c>
    </row>
    <row r="31" spans="1:5" x14ac:dyDescent="0.25">
      <c r="B31" t="s">
        <v>39</v>
      </c>
      <c r="C31" s="11">
        <v>9753</v>
      </c>
      <c r="D31" s="11">
        <v>3313</v>
      </c>
      <c r="E31" s="11">
        <v>0</v>
      </c>
    </row>
    <row r="32" spans="1:5" x14ac:dyDescent="0.25">
      <c r="B32" t="s">
        <v>50</v>
      </c>
      <c r="C32" s="11">
        <v>3306</v>
      </c>
      <c r="D32" s="11">
        <v>1376</v>
      </c>
      <c r="E32" s="11">
        <v>0</v>
      </c>
    </row>
    <row r="33" spans="1:5" x14ac:dyDescent="0.25">
      <c r="A33" t="s">
        <v>90</v>
      </c>
      <c r="C33" s="11">
        <v>84467</v>
      </c>
      <c r="D33" s="11">
        <v>66280</v>
      </c>
      <c r="E33" s="11">
        <v>-347</v>
      </c>
    </row>
    <row r="34" spans="1:5" x14ac:dyDescent="0.25">
      <c r="A34" t="s">
        <v>74</v>
      </c>
      <c r="C34" s="11"/>
      <c r="D34" s="11"/>
      <c r="E34" s="11"/>
    </row>
    <row r="35" spans="1:5" x14ac:dyDescent="0.25">
      <c r="B35" t="s">
        <v>5</v>
      </c>
      <c r="C35" s="11">
        <v>18505</v>
      </c>
      <c r="D35" s="11">
        <v>9216</v>
      </c>
      <c r="E35" s="11">
        <v>-189</v>
      </c>
    </row>
    <row r="36" spans="1:5" x14ac:dyDescent="0.25">
      <c r="B36" t="s">
        <v>17</v>
      </c>
      <c r="C36" s="11">
        <v>140200</v>
      </c>
      <c r="D36" s="11">
        <v>129600</v>
      </c>
      <c r="E36" s="11">
        <v>0</v>
      </c>
    </row>
    <row r="37" spans="1:5" x14ac:dyDescent="0.25">
      <c r="B37" t="s">
        <v>29</v>
      </c>
      <c r="C37" s="11">
        <v>23444</v>
      </c>
      <c r="D37" s="11">
        <v>14944</v>
      </c>
      <c r="E37" s="11">
        <v>0</v>
      </c>
    </row>
    <row r="38" spans="1:5" x14ac:dyDescent="0.25">
      <c r="B38" t="s">
        <v>52</v>
      </c>
      <c r="C38" s="11">
        <v>20157</v>
      </c>
      <c r="D38" s="11">
        <v>11357</v>
      </c>
      <c r="E38" s="11">
        <v>0</v>
      </c>
    </row>
    <row r="39" spans="1:5" x14ac:dyDescent="0.25">
      <c r="A39" t="s">
        <v>90</v>
      </c>
      <c r="C39" s="11">
        <v>202306</v>
      </c>
      <c r="D39" s="11">
        <v>165117</v>
      </c>
      <c r="E39" s="11">
        <v>-189</v>
      </c>
    </row>
    <row r="40" spans="1:5" x14ac:dyDescent="0.25">
      <c r="A40" s="17" t="s">
        <v>86</v>
      </c>
      <c r="B40" s="17"/>
      <c r="C40" s="18">
        <v>1099693.06</v>
      </c>
      <c r="D40" s="18">
        <v>1016678</v>
      </c>
      <c r="E40" s="18">
        <v>-4251.0599999999995</v>
      </c>
    </row>
  </sheetData>
  <conditionalFormatting sqref="E1:E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{DB7624F9-197F-480F-A227-CCC2E49850DC}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7624F9-197F-480F-A227-CCC2E4985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workbookViewId="0">
      <selection activeCell="I24" sqref="I24"/>
    </sheetView>
  </sheetViews>
  <sheetFormatPr baseColWidth="10" defaultRowHeight="15" x14ac:dyDescent="0.25"/>
  <cols>
    <col min="1" max="1" width="19.28515625" customWidth="1"/>
    <col min="2" max="2" width="17.28515625" customWidth="1"/>
    <col min="3" max="3" width="13" customWidth="1"/>
  </cols>
  <sheetData>
    <row r="1" spans="1:3" x14ac:dyDescent="0.25">
      <c r="A1" s="21" t="s">
        <v>91</v>
      </c>
      <c r="B1" s="22" t="s">
        <v>92</v>
      </c>
      <c r="C1" s="23" t="s">
        <v>93</v>
      </c>
    </row>
    <row r="2" spans="1:3" x14ac:dyDescent="0.25">
      <c r="A2" s="19" t="s">
        <v>75</v>
      </c>
      <c r="B2" s="24">
        <v>306639</v>
      </c>
      <c r="C2" s="25">
        <f>AVERAGE(B2:B7)</f>
        <v>169446.33333333334</v>
      </c>
    </row>
    <row r="3" spans="1:3" x14ac:dyDescent="0.25">
      <c r="A3" s="19" t="s">
        <v>76</v>
      </c>
      <c r="B3" s="24">
        <v>146276</v>
      </c>
      <c r="C3" s="25">
        <f t="shared" ref="C3:C7" si="0">$C$2</f>
        <v>169446.33333333334</v>
      </c>
    </row>
    <row r="4" spans="1:3" x14ac:dyDescent="0.25">
      <c r="A4" s="19" t="s">
        <v>77</v>
      </c>
      <c r="B4" s="24">
        <v>285787</v>
      </c>
      <c r="C4" s="25">
        <f t="shared" si="0"/>
        <v>169446.33333333334</v>
      </c>
    </row>
    <row r="5" spans="1:3" x14ac:dyDescent="0.25">
      <c r="A5" s="19" t="s">
        <v>78</v>
      </c>
      <c r="B5" s="24">
        <v>46579</v>
      </c>
      <c r="C5" s="25">
        <f t="shared" si="0"/>
        <v>169446.33333333334</v>
      </c>
    </row>
    <row r="6" spans="1:3" x14ac:dyDescent="0.25">
      <c r="A6" s="19" t="s">
        <v>73</v>
      </c>
      <c r="B6" s="24">
        <v>66280</v>
      </c>
      <c r="C6" s="25">
        <f t="shared" si="0"/>
        <v>169446.33333333334</v>
      </c>
    </row>
    <row r="7" spans="1:3" x14ac:dyDescent="0.25">
      <c r="A7" s="20" t="s">
        <v>74</v>
      </c>
      <c r="B7" s="26">
        <v>165117</v>
      </c>
      <c r="C7" s="27">
        <f t="shared" si="0"/>
        <v>169446.33333333334</v>
      </c>
    </row>
    <row r="9" spans="1:3" x14ac:dyDescent="0.25">
      <c r="A9" s="28" t="s">
        <v>94</v>
      </c>
      <c r="B9" s="29">
        <f>AVERAGE(B2:B7)</f>
        <v>169446.33333333334</v>
      </c>
    </row>
    <row r="10" spans="1:3" x14ac:dyDescent="0.25">
      <c r="A10" s="28" t="s">
        <v>95</v>
      </c>
      <c r="B10" s="29">
        <f>MAX(B2:B7)</f>
        <v>306639</v>
      </c>
    </row>
    <row r="11" spans="1:3" x14ac:dyDescent="0.25">
      <c r="A11" s="28" t="s">
        <v>96</v>
      </c>
      <c r="B11" s="29">
        <f>MIN(B2:B7)</f>
        <v>46579</v>
      </c>
    </row>
    <row r="12" spans="1:3" x14ac:dyDescent="0.25">
      <c r="A12" s="33" t="s">
        <v>97</v>
      </c>
      <c r="B12" s="33"/>
      <c r="C12" s="34"/>
    </row>
    <row r="13" spans="1:3" x14ac:dyDescent="0.25">
      <c r="A13" s="34"/>
      <c r="B13" s="34"/>
      <c r="C13" s="34"/>
    </row>
  </sheetData>
  <mergeCells count="1">
    <mergeCell ref="A12:C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DIAS DE LA SEMANA </vt:lpstr>
      <vt:lpstr>RESUMEN DE LOS DIAS DE  SEMANA </vt:lpstr>
      <vt:lpstr>GRAFICA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iQuantum</cp:lastModifiedBy>
  <dcterms:created xsi:type="dcterms:W3CDTF">2026-03-07T01:57:51Z</dcterms:created>
  <dcterms:modified xsi:type="dcterms:W3CDTF">2026-03-08T00:34:10Z</dcterms:modified>
</cp:coreProperties>
</file>