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02-A\code\Consultoria-Alimentos\analisis\sin clave\"/>
    </mc:Choice>
  </mc:AlternateContent>
  <xr:revisionPtr revIDLastSave="0" documentId="8_{75158D9E-D9C6-42AE-A85C-E4355D699CA2}" xr6:coauthVersionLast="47" xr6:coauthVersionMax="47" xr10:uidLastSave="{00000000-0000-0000-0000-000000000000}"/>
  <bookViews>
    <workbookView xWindow="7740" yWindow="4635" windowWidth="23625" windowHeight="15345" firstSheet="2" activeTab="3" xr2:uid="{6D0C4EC3-987B-482C-9884-2D8122A73FA6}"/>
  </bookViews>
  <sheets>
    <sheet name="FEBRERO 2026" sheetId="1" r:id="rId1"/>
    <sheet name="DIA DE LA SEMANA " sheetId="2" r:id="rId2"/>
    <sheet name="RESUME DE LOS DIAS DE LA SEMANA" sheetId="3" r:id="rId3"/>
    <sheet name="GRAFICA" sheetId="4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1" i="4" l="1"/>
  <c r="B10" i="4"/>
  <c r="B9" i="4"/>
  <c r="C2" i="4"/>
  <c r="E26" i="1"/>
  <c r="F26" i="1"/>
  <c r="G26" i="1"/>
  <c r="H26" i="1"/>
  <c r="I26" i="1"/>
  <c r="J26" i="1"/>
  <c r="K26" i="1"/>
  <c r="L26" i="1"/>
  <c r="M26" i="1"/>
</calcChain>
</file>

<file path=xl/sharedStrings.xml><?xml version="1.0" encoding="utf-8"?>
<sst xmlns="http://schemas.openxmlformats.org/spreadsheetml/2006/main" count="247" uniqueCount="96">
  <si>
    <t>$0.00</t>
  </si>
  <si>
    <t>CAJA</t>
  </si>
  <si>
    <t>04:05:06</t>
  </si>
  <si>
    <t>28/02/2026</t>
  </si>
  <si>
    <t>05:25:42</t>
  </si>
  <si>
    <t>27/02/2026</t>
  </si>
  <si>
    <t>05:50:04</t>
  </si>
  <si>
    <t>26/02/2026</t>
  </si>
  <si>
    <t>05:15:10</t>
  </si>
  <si>
    <t>25/02/2026</t>
  </si>
  <si>
    <t>05:22:36</t>
  </si>
  <si>
    <t>24/02/2026</t>
  </si>
  <si>
    <t>02:47:09</t>
  </si>
  <si>
    <t>23/02/2026</t>
  </si>
  <si>
    <t>04:44:48</t>
  </si>
  <si>
    <t>21/02/2026</t>
  </si>
  <si>
    <t>05:58:29</t>
  </si>
  <si>
    <t>20/02/2026</t>
  </si>
  <si>
    <t>06:22:57</t>
  </si>
  <si>
    <t>19/02/2026</t>
  </si>
  <si>
    <t>05:30:52</t>
  </si>
  <si>
    <t>18/02/2026</t>
  </si>
  <si>
    <t>05:34:04</t>
  </si>
  <si>
    <t>17/02/2026</t>
  </si>
  <si>
    <t>05:31:26</t>
  </si>
  <si>
    <t>16/02/2026</t>
  </si>
  <si>
    <t>04:07:22</t>
  </si>
  <si>
    <t>14/02/2026</t>
  </si>
  <si>
    <t>05:41:45</t>
  </si>
  <si>
    <t>13/02/2026</t>
  </si>
  <si>
    <t>05:11:54</t>
  </si>
  <si>
    <t>12/02/2026</t>
  </si>
  <si>
    <t>05:15:49</t>
  </si>
  <si>
    <t>11/02/2026</t>
  </si>
  <si>
    <t>05:13:07</t>
  </si>
  <si>
    <t>10/02/2026</t>
  </si>
  <si>
    <t>05:11:16</t>
  </si>
  <si>
    <t>09/02/2026</t>
  </si>
  <si>
    <t>03:50:15</t>
  </si>
  <si>
    <t>07/02/2026</t>
  </si>
  <si>
    <t>05:27:22</t>
  </si>
  <si>
    <t>06/02/2026</t>
  </si>
  <si>
    <t>05:18:31</t>
  </si>
  <si>
    <t>05/02/2026</t>
  </si>
  <si>
    <t>05:09:22</t>
  </si>
  <si>
    <t>04/02/2026</t>
  </si>
  <si>
    <t>05:22:45</t>
  </si>
  <si>
    <t>03/02/2026</t>
  </si>
  <si>
    <t>04:50:49</t>
  </si>
  <si>
    <t>02/02/2026</t>
  </si>
  <si>
    <t>DIFERENCIA</t>
  </si>
  <si>
    <t>VENTA/CRED</t>
  </si>
  <si>
    <t>DECLARADO</t>
  </si>
  <si>
    <t>CREDITO</t>
  </si>
  <si>
    <t>TOTAL</t>
  </si>
  <si>
    <t>EGRESOS</t>
  </si>
  <si>
    <t>INGRESOS</t>
  </si>
  <si>
    <t>COBRANZA</t>
  </si>
  <si>
    <t>VENTAS</t>
  </si>
  <si>
    <t>CAJERO</t>
  </si>
  <si>
    <t>HORA</t>
  </si>
  <si>
    <t>N#</t>
  </si>
  <si>
    <t>FECHA</t>
  </si>
  <si>
    <t xml:space="preserve">FECHA </t>
  </si>
  <si>
    <t>DIA</t>
  </si>
  <si>
    <t xml:space="preserve">EGRESOS </t>
  </si>
  <si>
    <t xml:space="preserve">TOTAL </t>
  </si>
  <si>
    <t xml:space="preserve">DECLARADO </t>
  </si>
  <si>
    <t xml:space="preserve">DIFERENCIA </t>
  </si>
  <si>
    <t xml:space="preserve">LUNES </t>
  </si>
  <si>
    <t xml:space="preserve">MARTES </t>
  </si>
  <si>
    <t>MIERCOLES</t>
  </si>
  <si>
    <t>JUEVES</t>
  </si>
  <si>
    <t>VIERNES</t>
  </si>
  <si>
    <t>SABADO</t>
  </si>
  <si>
    <t>DIAS</t>
  </si>
  <si>
    <t xml:space="preserve">   VENTAS DEL LUNES </t>
  </si>
  <si>
    <t>VENTAS DEL MARTES</t>
  </si>
  <si>
    <t>VENTAS DEL MIERCOLES</t>
  </si>
  <si>
    <t>VENTAS DEL JUEVES</t>
  </si>
  <si>
    <t>VENTAS DEL  VIERNES</t>
  </si>
  <si>
    <t>VENTAS DEL SABADO</t>
  </si>
  <si>
    <t>Total general</t>
  </si>
  <si>
    <t xml:space="preserve">Suma de DECLARADO </t>
  </si>
  <si>
    <t xml:space="preserve">Suma de DIFERENCIA </t>
  </si>
  <si>
    <t>TOTAL INGRESOS</t>
  </si>
  <si>
    <t xml:space="preserve"> </t>
  </si>
  <si>
    <t xml:space="preserve">DIA DE LA SEMANA </t>
  </si>
  <si>
    <t>VENTA DECLARADA</t>
  </si>
  <si>
    <t>(PROMEDIO)</t>
  </si>
  <si>
    <t>LUNES</t>
  </si>
  <si>
    <t>MARTES</t>
  </si>
  <si>
    <t xml:space="preserve"> PROMEDIO GENERAL </t>
  </si>
  <si>
    <t xml:space="preserve"> VENTA MAXIMA </t>
  </si>
  <si>
    <t xml:space="preserve"> VENTA MINIMA </t>
  </si>
  <si>
    <t>"NOTA LAS CANTIDADES QUE SE MUESTRAN EN LA GRAFICA PERTENECEN A LO QUE SE DECLARO".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</si>
</sst>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\-&quot;$&quot;#,##0.00"/>
    <numFmt numFmtId="164" formatCode="_-[$$-80A]* #,##0.00_-;\-[$$-80A]* #,##0.00_-;_-[$$-80A]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1" fillId="3" borderId="0" applyNumberFormat="0" applyBorder="0" applyAlignment="0" applyProtection="0"/>
  </cellStyleXfs>
  <cellXfs count="29">
    <xf numFmtId="0" fontId="0" fillId="0" borderId="0" xfId="0"/>
    <xf numFmtId="164" fontId="3" fillId="4" borderId="0" xfId="0" applyNumberFormat="1" applyFont="1" applyFill="1" applyAlignment="1" applyProtection="1">
      <alignment horizontal="right"/>
      <protection locked="0"/>
    </xf>
    <xf numFmtId="164" fontId="0" fillId="4" borderId="0" xfId="0" applyNumberFormat="1" applyFill="1" applyProtection="1">
      <protection locked="0"/>
    </xf>
    <xf numFmtId="0" fontId="0" fillId="4" borderId="0" xfId="0" applyFill="1" applyProtection="1">
      <protection locked="0"/>
    </xf>
    <xf numFmtId="164" fontId="2" fillId="0" borderId="0" xfId="0" applyNumberFormat="1" applyFont="1" applyAlignment="1" applyProtection="1">
      <alignment horizontal="right"/>
      <protection locked="0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3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4" borderId="2" xfId="0" applyNumberFormat="1" applyFill="1" applyBorder="1" applyAlignment="1">
      <alignment horizontal="center"/>
    </xf>
    <xf numFmtId="8" fontId="0" fillId="4" borderId="2" xfId="0" applyNumberFormat="1" applyFill="1" applyBorder="1" applyAlignment="1">
      <alignment horizontal="center"/>
    </xf>
    <xf numFmtId="0" fontId="0" fillId="0" borderId="0" xfId="0" applyNumberFormat="1"/>
    <xf numFmtId="0" fontId="0" fillId="0" borderId="7" xfId="0" applyBorder="1"/>
    <xf numFmtId="164" fontId="0" fillId="0" borderId="2" xfId="0" applyNumberFormat="1" applyBorder="1"/>
    <xf numFmtId="164" fontId="0" fillId="0" borderId="8" xfId="0" applyNumberFormat="1" applyBorder="1"/>
    <xf numFmtId="0" fontId="0" fillId="0" borderId="9" xfId="0" applyBorder="1"/>
    <xf numFmtId="164" fontId="0" fillId="0" borderId="10" xfId="0" applyNumberFormat="1" applyBorder="1"/>
    <xf numFmtId="164" fontId="0" fillId="0" borderId="11" xfId="0" applyNumberFormat="1" applyBorder="1"/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4" borderId="2" xfId="0" applyFill="1" applyBorder="1"/>
    <xf numFmtId="164" fontId="1" fillId="3" borderId="2" xfId="2" applyNumberFormat="1" applyBorder="1"/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6" fillId="2" borderId="3" xfId="1" applyFont="1" applyBorder="1" applyAlignment="1">
      <alignment horizontal="center" wrapText="1"/>
    </xf>
    <xf numFmtId="0" fontId="6" fillId="2" borderId="1" xfId="1" applyFont="1" applyAlignment="1">
      <alignment horizontal="center" wrapText="1"/>
    </xf>
  </cellXfs>
  <cellStyles count="3">
    <cellStyle name="20% - Énfasis3" xfId="2" builtinId="38"/>
    <cellStyle name="Normal" xfId="0" builtinId="0"/>
    <cellStyle name="Notas" xfId="1" builtinId="10"/>
  </cellStyles>
  <dxfs count="59">
    <dxf>
      <numFmt numFmtId="164" formatCode="_-[$$-80A]* #,##0.00_-;\-[$$-80A]* #,##0.00_-;_-[$$-80A]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  <alignment horizontal="right" vertical="bottom" textRotation="0" wrapText="0" indent="0" justifyLastLine="0" shrinkToFit="0" readingOrder="0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numFmt numFmtId="164" formatCode="_-[$$-80A]* #,##0.00_-;\-[$$-80A]* #,##0.00_-;_-[$$-80A]* &quot;-&quot;??_-;_-@_-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alignment horizontal="right" vertical="bottom" textRotation="0" wrapText="0" indent="0" justifyLastLine="0" shrinkToFit="0" readingOrder="0"/>
      <protection locked="0" hidden="0"/>
    </dxf>
    <dxf>
      <font>
        <b/>
      </font>
      <numFmt numFmtId="164" formatCode="_-[$$-80A]* #,##0.00_-;\-[$$-80A]* #,##0.00_-;_-[$$-80A]* &quot;-&quot;??_-;_-@_-"/>
      <alignment horizontal="right" vertical="bottom" textRotation="0" wrapText="0" indent="0" justifyLastLine="0" shrinkToFit="0" readingOrder="0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numFmt numFmtId="164" formatCode="_-[$$-80A]* #,##0.00_-;\-[$$-80A]* #,##0.00_-;_-[$$-80A]* &quot;-&quot;??_-;_-@_-"/>
      <fill>
        <patternFill patternType="solid">
          <fgColor indexed="64"/>
          <bgColor theme="0" tint="-0.14999847407452621"/>
        </patternFill>
      </fill>
      <protection locked="0" hidden="0"/>
    </dxf>
    <dxf>
      <numFmt numFmtId="164" formatCode="_-[$$-80A]* #,##0.00_-;\-[$$-80A]* #,##0.00_-;_-[$$-80A]* &quot;-&quot;??_-;_-@_-"/>
      <protection locked="0" hidden="0"/>
    </dxf>
    <dxf>
      <fill>
        <patternFill patternType="solid">
          <fgColor indexed="64"/>
          <bgColor theme="0" tint="-0.14999847407452621"/>
        </patternFill>
      </fill>
      <protection locked="0" hidden="0"/>
    </dxf>
    <dxf>
      <protection locked="0" hidden="0"/>
    </dxf>
    <dxf>
      <fill>
        <patternFill patternType="solid">
          <fgColor indexed="64"/>
          <bgColor theme="0" tint="-0.14999847407452621"/>
        </patternFill>
      </fill>
      <protection locked="0" hidden="0"/>
    </dxf>
    <dxf>
      <protection locked="0" hidden="0"/>
    </dxf>
    <dxf>
      <fill>
        <patternFill patternType="solid">
          <fgColor indexed="64"/>
          <bgColor theme="0" tint="-0.14999847407452621"/>
        </patternFill>
      </fill>
      <protection locked="0" hidden="0"/>
    </dxf>
    <dxf>
      <protection locked="0" hidden="0"/>
    </dxf>
    <dxf>
      <fill>
        <patternFill patternType="solid">
          <fgColor indexed="64"/>
          <bgColor theme="0" tint="-0.14999847407452621"/>
        </patternFill>
      </fill>
      <protection locked="0" hidden="0"/>
    </dxf>
    <dxf>
      <protection locked="0" hidden="0"/>
    </dxf>
    <dxf>
      <fill>
        <patternFill patternType="solid">
          <fgColor indexed="64"/>
          <bgColor theme="0" tint="-0.14999847407452621"/>
        </patternFill>
      </fill>
    </dxf>
    <dxf>
      <protection locked="0" hidden="0"/>
    </dxf>
    <dxf>
      <font>
        <b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MX">
                <a:solidFill>
                  <a:schemeClr val="tx1">
                    <a:lumMod val="65000"/>
                    <a:lumOff val="35000"/>
                  </a:schemeClr>
                </a:solidFill>
              </a:rPr>
              <a:t>Análisis Comparativo de Ingreosos Declarados</a:t>
            </a:r>
          </a:p>
          <a:p>
            <a:pPr>
              <a:defRPr/>
            </a:pPr>
            <a:r>
              <a:rPr lang="es-MX" sz="1000"/>
              <a:t>Enero 2026. Ventas Totales por Día.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GRAFICA!$B$1</c:f>
              <c:strCache>
                <c:ptCount val="1"/>
                <c:pt idx="0">
                  <c:v>VENTA DECLARADA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B2-4885-925F-D86EB36C189C}"/>
              </c:ext>
            </c:extLst>
          </c:dPt>
          <c:cat>
            <c:strRef>
              <c:f>GRAFICA!$A$2:$A$7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GRAFICA!$B$2:$B$7</c:f>
              <c:numCache>
                <c:formatCode>_-[$$-80A]* #,##0.00_-;\-[$$-80A]* #,##0.00_-;_-[$$-80A]* "-"??_-;_-@_-</c:formatCode>
                <c:ptCount val="6"/>
                <c:pt idx="0">
                  <c:v>226195</c:v>
                </c:pt>
                <c:pt idx="1">
                  <c:v>137219</c:v>
                </c:pt>
                <c:pt idx="2">
                  <c:v>62004</c:v>
                </c:pt>
                <c:pt idx="3">
                  <c:v>115008</c:v>
                </c:pt>
                <c:pt idx="4">
                  <c:v>148507</c:v>
                </c:pt>
                <c:pt idx="5">
                  <c:v>63233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2-4885-925F-D86EB36C1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7"/>
        <c:overlap val="-27"/>
        <c:axId val="974404415"/>
        <c:axId val="974401087"/>
      </c:barChart>
      <c:lineChart>
        <c:grouping val="standard"/>
        <c:varyColors val="0"/>
        <c:ser>
          <c:idx val="1"/>
          <c:order val="1"/>
          <c:tx>
            <c:strRef>
              <c:f>GRAFICA!$C$1</c:f>
              <c:strCache>
                <c:ptCount val="1"/>
                <c:pt idx="0">
                  <c:v>(PROMEDIO)</c:v>
                </c:pt>
              </c:strCache>
            </c:strRef>
          </c:tx>
          <c:spPr>
            <a:ln w="2222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GRAFICA!$A$2:$A$7</c:f>
              <c:strCache>
                <c:ptCount val="6"/>
                <c:pt idx="0">
                  <c:v>LUNES</c:v>
                </c:pt>
                <c:pt idx="1">
                  <c:v>MARTES</c:v>
                </c:pt>
                <c:pt idx="2">
                  <c:v>MIERCOLES</c:v>
                </c:pt>
                <c:pt idx="3">
                  <c:v>JUEVES</c:v>
                </c:pt>
                <c:pt idx="4">
                  <c:v>VIERNES</c:v>
                </c:pt>
                <c:pt idx="5">
                  <c:v>SABADO</c:v>
                </c:pt>
              </c:strCache>
            </c:strRef>
          </c:cat>
          <c:val>
            <c:numRef>
              <c:f>GRAFICA!$C$2:$C$7</c:f>
              <c:numCache>
                <c:formatCode>_-[$$-80A]* #,##0.00_-;\-[$$-80A]* #,##0.00_-;_-[$$-80A]* "-"??_-;_-@_-</c:formatCode>
                <c:ptCount val="6"/>
                <c:pt idx="0">
                  <c:v>125361</c:v>
                </c:pt>
                <c:pt idx="1">
                  <c:v>125361</c:v>
                </c:pt>
                <c:pt idx="2">
                  <c:v>125361</c:v>
                </c:pt>
                <c:pt idx="3">
                  <c:v>125361</c:v>
                </c:pt>
                <c:pt idx="4">
                  <c:v>125361</c:v>
                </c:pt>
                <c:pt idx="5">
                  <c:v>125361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FB2-4885-925F-D86EB36C1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74404415"/>
        <c:axId val="974401087"/>
      </c:lineChart>
      <c:catAx>
        <c:axId val="97440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4401087"/>
        <c:crosses val="autoZero"/>
        <c:auto val="1"/>
        <c:lblAlgn val="ctr"/>
        <c:lblOffset val="100"/>
        <c:noMultiLvlLbl val="0"/>
      </c:catAx>
      <c:valAx>
        <c:axId val="9744010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80A]* #,##0.00_-;\-[$$-80A]* #,##0.00_-;_-[$$-80A]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974404415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0</xdr:colOff>
      <xdr:row>15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C6549E3-8AE3-430F-B1B6-2F97F3073B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88.595118750003" createdVersion="7" refreshedVersion="7" minRefreshableVersion="3" recordCount="24" xr:uid="{3DE0DE45-FFB8-4371-8A56-2B6FE4DE5530}">
  <cacheSource type="worksheet">
    <worksheetSource name="Tabla2"/>
  </cacheSource>
  <cacheFields count="8">
    <cacheField name="FECHA " numFmtId="0">
      <sharedItems count="24">
        <s v="02/02/2026"/>
        <s v="03/02/2026"/>
        <s v="04/02/2026"/>
        <s v="05/02/2026"/>
        <s v="06/02/2026"/>
        <s v="07/02/2026"/>
        <s v="09/02/2026"/>
        <s v="10/02/2026"/>
        <s v="11/02/2026"/>
        <s v="12/02/2026"/>
        <s v="13/02/2026"/>
        <s v="14/02/2026"/>
        <s v="16/02/2026"/>
        <s v="17/02/2026"/>
        <s v="18/02/2026"/>
        <s v="19/02/2026"/>
        <s v="20/02/2026"/>
        <s v="21/02/2026"/>
        <s v="23/02/2026"/>
        <s v="24/02/2026"/>
        <s v="25/02/2026"/>
        <s v="26/02/2026"/>
        <s v="27/02/2026"/>
        <s v="28/02/2026"/>
      </sharedItems>
    </cacheField>
    <cacheField name="DIA" numFmtId="0">
      <sharedItems count="6">
        <s v="LUNES "/>
        <s v="MARTES "/>
        <s v="MIERCOLES"/>
        <s v="JUEVES"/>
        <s v="VIERNES"/>
        <s v="SABADO"/>
      </sharedItems>
    </cacheField>
    <cacheField name="N#" numFmtId="0">
      <sharedItems containsSemiMixedTypes="0" containsString="0" containsNumber="1" containsInteger="1" minValue="2214" maxValue="2238"/>
    </cacheField>
    <cacheField name="INGRESOS" numFmtId="164">
      <sharedItems containsSemiMixedTypes="0" containsString="0" containsNumber="1" minValue="12759" maxValue="94136"/>
    </cacheField>
    <cacheField name="EGRESOS " numFmtId="164">
      <sharedItems containsMixedTypes="1" containsNumber="1" containsInteger="1" minValue="50" maxValue="27687"/>
    </cacheField>
    <cacheField name="TOTAL " numFmtId="164">
      <sharedItems containsSemiMixedTypes="0" containsString="0" containsNumber="1" minValue="8670" maxValue="94136"/>
    </cacheField>
    <cacheField name="DECLARADO " numFmtId="164">
      <sharedItems containsSemiMixedTypes="0" containsString="0" containsNumber="1" containsInteger="1" minValue="8507" maxValue="94136"/>
    </cacheField>
    <cacheField name="DIFERENCIA " numFmtId="164">
      <sharedItems containsMixedTypes="1" containsNumber="1" minValue="-2280.9899999999998" maxValue="83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x v="0"/>
    <n v="2214"/>
    <n v="62338"/>
    <n v="360"/>
    <n v="61978"/>
    <n v="61978"/>
    <s v="$0.00"/>
  </r>
  <r>
    <x v="1"/>
    <x v="1"/>
    <n v="2215"/>
    <n v="19122.990000000002"/>
    <n v="1750"/>
    <n v="17372.990000000002"/>
    <n v="17373"/>
    <n v="0.01"/>
  </r>
  <r>
    <x v="2"/>
    <x v="2"/>
    <n v="2216"/>
    <n v="16482"/>
    <n v="300"/>
    <n v="16182"/>
    <n v="14405"/>
    <n v="-1777"/>
  </r>
  <r>
    <x v="3"/>
    <x v="3"/>
    <n v="2217"/>
    <n v="19985.990000000002"/>
    <s v="$0.00"/>
    <n v="19985.990000000002"/>
    <n v="17705"/>
    <n v="-2280.9899999999998"/>
  </r>
  <r>
    <x v="4"/>
    <x v="4"/>
    <n v="2218"/>
    <n v="49458"/>
    <n v="8647"/>
    <n v="40811"/>
    <n v="40811"/>
    <s v="$0.00"/>
  </r>
  <r>
    <x v="5"/>
    <x v="5"/>
    <n v="2219"/>
    <n v="50163.91"/>
    <n v="27687"/>
    <n v="22476.91"/>
    <n v="22477"/>
    <n v="0.09"/>
  </r>
  <r>
    <x v="6"/>
    <x v="0"/>
    <n v="2220"/>
    <n v="55031"/>
    <n v="305"/>
    <n v="54726"/>
    <n v="54726"/>
    <s v="$0.00"/>
  </r>
  <r>
    <x v="7"/>
    <x v="1"/>
    <n v="2221"/>
    <n v="34383"/>
    <n v="3100"/>
    <n v="31283"/>
    <n v="31283"/>
    <s v="$0.00"/>
  </r>
  <r>
    <x v="8"/>
    <x v="2"/>
    <n v="2222"/>
    <n v="28737"/>
    <s v="$0.00"/>
    <n v="28737"/>
    <n v="28737"/>
    <s v="$0.00"/>
  </r>
  <r>
    <x v="9"/>
    <x v="3"/>
    <n v="2224"/>
    <n v="23867"/>
    <n v="1977"/>
    <n v="21890"/>
    <n v="22088"/>
    <n v="198"/>
  </r>
  <r>
    <x v="10"/>
    <x v="4"/>
    <n v="2225"/>
    <n v="52395"/>
    <n v="4950"/>
    <n v="47445"/>
    <n v="47445"/>
    <s v="$0.00"/>
  </r>
  <r>
    <x v="11"/>
    <x v="5"/>
    <n v="2226"/>
    <n v="30411.99"/>
    <n v="17070"/>
    <n v="13341.99"/>
    <n v="13342"/>
    <n v="0.01"/>
  </r>
  <r>
    <x v="12"/>
    <x v="0"/>
    <n v="2227"/>
    <n v="94136"/>
    <s v="$0.00"/>
    <n v="94136"/>
    <n v="94136"/>
    <s v="$0.00"/>
  </r>
  <r>
    <x v="13"/>
    <x v="1"/>
    <n v="2228"/>
    <n v="43315.99"/>
    <n v="5850"/>
    <n v="37465.99"/>
    <n v="37462"/>
    <n v="-3.99"/>
  </r>
  <r>
    <x v="14"/>
    <x v="2"/>
    <n v="2229"/>
    <n v="12759"/>
    <n v="3010"/>
    <n v="9749"/>
    <n v="8507"/>
    <n v="-1242"/>
  </r>
  <r>
    <x v="15"/>
    <x v="3"/>
    <n v="2230"/>
    <n v="66079"/>
    <n v="550"/>
    <n v="65529"/>
    <n v="66365"/>
    <n v="836"/>
  </r>
  <r>
    <x v="16"/>
    <x v="4"/>
    <n v="2231"/>
    <n v="37979"/>
    <n v="6945"/>
    <n v="31034"/>
    <n v="31034"/>
    <s v="$0.00"/>
  </r>
  <r>
    <x v="17"/>
    <x v="5"/>
    <n v="2232"/>
    <n v="30584.49"/>
    <n v="17210"/>
    <n v="13374.49"/>
    <n v="13883"/>
    <n v="508.51"/>
  </r>
  <r>
    <x v="18"/>
    <x v="0"/>
    <n v="2233"/>
    <n v="15354.99"/>
    <s v="$0.00"/>
    <n v="15354.99"/>
    <n v="15355"/>
    <n v="0.01"/>
  </r>
  <r>
    <x v="19"/>
    <x v="1"/>
    <n v="2234"/>
    <n v="50549"/>
    <n v="50"/>
    <n v="50499"/>
    <n v="51101"/>
    <n v="602"/>
  </r>
  <r>
    <x v="20"/>
    <x v="2"/>
    <n v="2235"/>
    <n v="13557"/>
    <n v="3202"/>
    <n v="10355"/>
    <n v="10355"/>
    <s v="$0.00"/>
  </r>
  <r>
    <x v="21"/>
    <x v="3"/>
    <n v="2236"/>
    <n v="20341"/>
    <n v="11671"/>
    <n v="8670"/>
    <n v="8850"/>
    <n v="180"/>
  </r>
  <r>
    <x v="22"/>
    <x v="4"/>
    <n v="2237"/>
    <n v="34950.99"/>
    <n v="5734"/>
    <n v="29216.99"/>
    <n v="29217"/>
    <n v="0.01"/>
  </r>
  <r>
    <x v="23"/>
    <x v="5"/>
    <n v="2238"/>
    <n v="28579"/>
    <n v="15048"/>
    <n v="13531"/>
    <n v="13531"/>
    <s v="$0.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F2A0C3-1576-49F1-8DF7-C071AE0F807B}" name="TablaDinámica3" cacheId="0" applyNumberFormats="0" applyBorderFormats="0" applyFontFormats="0" applyPatternFormats="0" applyAlignmentFormats="0" applyWidthHeightFormats="1" dataCaption="Valores" updatedVersion="7" minRefreshableVersion="3" showDrill="0" useAutoFormatting="1" itemPrintTitles="1" createdVersion="7" indent="0" showHeaders="0" compact="0" outline="1" outlineData="1" compactData="0" multipleFieldFilters="0">
  <location ref="A3:E40" firstHeaderRow="0" firstDataRow="1" firstDataCol="2"/>
  <pivotFields count="8">
    <pivotField axis="axisRow" compact="0" subtotalTop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Row" subtotalCaption=" " compact="0" subtotalTop="0" showAll="0" includeNewItemsInFilter="1" nonAutoSortDefault="1">
      <items count="7">
        <item x="0"/>
        <item x="1"/>
        <item x="2"/>
        <item x="3"/>
        <item x="4"/>
        <item x="5"/>
        <item t="default"/>
      </items>
    </pivotField>
    <pivotField compact="0" subtotalTop="0" showAll="0"/>
    <pivotField dataField="1" compact="0" numFmtId="164" subtotalTop="0" showAll="0"/>
    <pivotField compact="0" subtotalTop="0" showAll="0"/>
    <pivotField compact="0" numFmtId="164" subtotalTop="0" showAll="0"/>
    <pivotField dataField="1" compact="0" numFmtId="164" subtotalTop="0" showAll="0"/>
    <pivotField dataField="1" compact="0" subtotalTop="0" showAll="0"/>
  </pivotFields>
  <rowFields count="2">
    <field x="1"/>
    <field x="0"/>
  </rowFields>
  <rowItems count="37">
    <i>
      <x/>
    </i>
    <i r="1">
      <x/>
    </i>
    <i r="1">
      <x v="6"/>
    </i>
    <i r="1">
      <x v="12"/>
    </i>
    <i r="1">
      <x v="18"/>
    </i>
    <i t="default">
      <x/>
    </i>
    <i>
      <x v="1"/>
    </i>
    <i r="1">
      <x v="1"/>
    </i>
    <i r="1">
      <x v="7"/>
    </i>
    <i r="1">
      <x v="13"/>
    </i>
    <i r="1">
      <x v="19"/>
    </i>
    <i t="default">
      <x v="1"/>
    </i>
    <i>
      <x v="2"/>
    </i>
    <i r="1">
      <x v="2"/>
    </i>
    <i r="1">
      <x v="8"/>
    </i>
    <i r="1">
      <x v="14"/>
    </i>
    <i r="1">
      <x v="20"/>
    </i>
    <i t="default">
      <x v="2"/>
    </i>
    <i>
      <x v="3"/>
    </i>
    <i r="1">
      <x v="3"/>
    </i>
    <i r="1">
      <x v="9"/>
    </i>
    <i r="1">
      <x v="15"/>
    </i>
    <i r="1">
      <x v="21"/>
    </i>
    <i t="default">
      <x v="3"/>
    </i>
    <i>
      <x v="4"/>
    </i>
    <i r="1">
      <x v="4"/>
    </i>
    <i r="1">
      <x v="10"/>
    </i>
    <i r="1">
      <x v="16"/>
    </i>
    <i r="1">
      <x v="22"/>
    </i>
    <i t="default">
      <x v="4"/>
    </i>
    <i>
      <x v="5"/>
    </i>
    <i r="1">
      <x v="5"/>
    </i>
    <i r="1">
      <x v="11"/>
    </i>
    <i r="1">
      <x v="17"/>
    </i>
    <i r="1">
      <x v="23"/>
    </i>
    <i t="default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INGRESOS" fld="3" baseField="1" baseItem="0"/>
    <dataField name="Suma de DECLARADO " fld="6" baseField="0" baseItem="0"/>
    <dataField name="Suma de DIFERENCIA " fld="7" baseField="1" baseItem="0"/>
  </dataFields>
  <formats count="18">
    <format dxfId="24">
      <pivotArea fieldPosition="0">
        <references count="2">
          <reference field="0" count="4">
            <x v="0"/>
            <x v="6"/>
            <x v="12"/>
            <x v="18"/>
          </reference>
          <reference field="1" count="1" selected="0">
            <x v="0"/>
          </reference>
        </references>
      </pivotArea>
    </format>
    <format dxfId="23">
      <pivotArea fieldPosition="0">
        <references count="1">
          <reference field="1" count="1" defaultSubtotal="1">
            <x v="0"/>
          </reference>
        </references>
      </pivotArea>
    </format>
    <format dxfId="22">
      <pivotArea fieldPosition="0">
        <references count="1">
          <reference field="1" count="1">
            <x v="1"/>
          </reference>
        </references>
      </pivotArea>
    </format>
    <format dxfId="21">
      <pivotArea fieldPosition="0">
        <references count="2">
          <reference field="0" count="4">
            <x v="1"/>
            <x v="7"/>
            <x v="13"/>
            <x v="19"/>
          </reference>
          <reference field="1" count="1" selected="0">
            <x v="1"/>
          </reference>
        </references>
      </pivotArea>
    </format>
    <format dxfId="20">
      <pivotArea fieldPosition="0">
        <references count="1">
          <reference field="1" count="1" defaultSubtotal="1">
            <x v="1"/>
          </reference>
        </references>
      </pivotArea>
    </format>
    <format dxfId="19">
      <pivotArea fieldPosition="0">
        <references count="1">
          <reference field="1" count="1">
            <x v="2"/>
          </reference>
        </references>
      </pivotArea>
    </format>
    <format dxfId="18">
      <pivotArea fieldPosition="0">
        <references count="2">
          <reference field="0" count="4">
            <x v="2"/>
            <x v="8"/>
            <x v="14"/>
            <x v="20"/>
          </reference>
          <reference field="1" count="1" selected="0">
            <x v="2"/>
          </reference>
        </references>
      </pivotArea>
    </format>
    <format dxfId="17">
      <pivotArea fieldPosition="0">
        <references count="1">
          <reference field="1" count="1" defaultSubtotal="1">
            <x v="2"/>
          </reference>
        </references>
      </pivotArea>
    </format>
    <format dxfId="16">
      <pivotArea fieldPosition="0">
        <references count="1">
          <reference field="1" count="1">
            <x v="3"/>
          </reference>
        </references>
      </pivotArea>
    </format>
    <format dxfId="15">
      <pivotArea fieldPosition="0">
        <references count="2">
          <reference field="0" count="4">
            <x v="3"/>
            <x v="9"/>
            <x v="15"/>
            <x v="21"/>
          </reference>
          <reference field="1" count="1" selected="0">
            <x v="3"/>
          </reference>
        </references>
      </pivotArea>
    </format>
    <format dxfId="14">
      <pivotArea fieldPosition="0">
        <references count="1">
          <reference field="1" count="1" defaultSubtotal="1">
            <x v="3"/>
          </reference>
        </references>
      </pivotArea>
    </format>
    <format dxfId="13">
      <pivotArea fieldPosition="0">
        <references count="1">
          <reference field="1" count="1">
            <x v="4"/>
          </reference>
        </references>
      </pivotArea>
    </format>
    <format dxfId="12">
      <pivotArea fieldPosition="0">
        <references count="2">
          <reference field="0" count="4">
            <x v="4"/>
            <x v="10"/>
            <x v="16"/>
            <x v="22"/>
          </reference>
          <reference field="1" count="1" selected="0">
            <x v="4"/>
          </reference>
        </references>
      </pivotArea>
    </format>
    <format dxfId="11">
      <pivotArea fieldPosition="0">
        <references count="1">
          <reference field="1" count="1" defaultSubtotal="1">
            <x v="4"/>
          </reference>
        </references>
      </pivotArea>
    </format>
    <format dxfId="10">
      <pivotArea fieldPosition="0">
        <references count="1">
          <reference field="1" count="1">
            <x v="5"/>
          </reference>
        </references>
      </pivotArea>
    </format>
    <format dxfId="9">
      <pivotArea fieldPosition="0">
        <references count="2">
          <reference field="0" count="4">
            <x v="5"/>
            <x v="11"/>
            <x v="17"/>
            <x v="23"/>
          </reference>
          <reference field="1" count="1" selected="0">
            <x v="5"/>
          </reference>
        </references>
      </pivotArea>
    </format>
    <format dxfId="8">
      <pivotArea fieldPosition="0">
        <references count="1">
          <reference field="1" count="1" defaultSubtotal="1">
            <x v="5"/>
          </reference>
        </references>
      </pivotArea>
    </format>
    <format dxfId="7">
      <pivotArea grandRow="1" outline="0" collapsedLevelsAreSubtotals="1" fieldPosition="0"/>
    </format>
  </formats>
  <conditionalFormats count="1">
    <conditionalFormat priority="1">
      <pivotAreas count="1">
        <pivotArea outline="0" fieldPosition="0">
          <references count="1">
            <reference field="4294967294" count="1">
              <x v="2"/>
            </reference>
          </references>
        </pivotArea>
      </pivotAreas>
    </conditionalFormat>
  </conditionalFormats>
  <pivotTableStyleInfo name="PivotStyleLight16"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BF744F-666B-4C94-991E-8BC2528BCA8B}" name="Tabla1" displayName="Tabla1" ref="A1:M26" totalsRowCount="1" headerRowDxfId="58" dataDxfId="57" totalsRowDxfId="56">
  <autoFilter ref="A1:M25" xr:uid="{CD90F786-CA7C-4492-9301-3E6C472DA674}"/>
  <tableColumns count="13">
    <tableColumn id="1" xr3:uid="{913AC5C0-6A9C-4CBB-BA9F-2171CB49B9F4}" name="FECHA" dataDxfId="55" totalsRowDxfId="54"/>
    <tableColumn id="2" xr3:uid="{D0E6EF09-A0E8-4CC5-8F0F-8417E741EAA7}" name="N#" dataDxfId="53" totalsRowDxfId="52"/>
    <tableColumn id="3" xr3:uid="{3A048968-7E22-4B25-BB58-6A8692D92283}" name="HORA" dataDxfId="51" totalsRowDxfId="50"/>
    <tableColumn id="4" xr3:uid="{361A245F-0CF9-47B5-83C9-9DDB29D1E843}" name="CAJERO" dataDxfId="49" totalsRowDxfId="48"/>
    <tableColumn id="5" xr3:uid="{33F9789E-3E90-47AE-8D49-BECAECADB427}" name="VENTAS" totalsRowFunction="sum" dataDxfId="47" totalsRowDxfId="46"/>
    <tableColumn id="6" xr3:uid="{99AF95CB-8165-4F39-B802-DB09E0168E43}" name="COBRANZA" totalsRowFunction="sum" dataDxfId="45" totalsRowDxfId="44"/>
    <tableColumn id="7" xr3:uid="{0F42BA05-3FEF-4C91-B0BD-F62BF87DD9B0}" name="INGRESOS" totalsRowFunction="sum" dataDxfId="43" totalsRowDxfId="42"/>
    <tableColumn id="8" xr3:uid="{5B26287A-AD78-4E0E-83DC-827727054E84}" name="EGRESOS" totalsRowFunction="sum" dataDxfId="41" totalsRowDxfId="40"/>
    <tableColumn id="9" xr3:uid="{FB500369-9B9D-49DB-AE48-538C154D7350}" name="TOTAL" totalsRowFunction="sum" dataDxfId="39" totalsRowDxfId="38"/>
    <tableColumn id="10" xr3:uid="{D62C3A8D-A7EB-4C79-A9B8-1A72E6161CD4}" name="CREDITO" totalsRowFunction="sum" dataDxfId="37" totalsRowDxfId="36"/>
    <tableColumn id="11" xr3:uid="{68EDF166-8471-4B52-A70D-3F8A3242A769}" name="DECLARADO" totalsRowFunction="sum" dataDxfId="35" totalsRowDxfId="34"/>
    <tableColumn id="12" xr3:uid="{0D05E7AA-2092-40E2-A396-F84F8D38D3E4}" name="VENTA/CRED" totalsRowFunction="sum" dataDxfId="33" totalsRowDxfId="32"/>
    <tableColumn id="13" xr3:uid="{9AB83B45-D05B-4AA9-906A-9038C59C75E7}" name="DIFERENCIA" totalsRowFunction="sum" dataDxfId="31" totalsRowDxfId="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5341A2-8FAB-419C-967E-E11524F8592E}" name="Tabla2" displayName="Tabla2" ref="A1:H25" totalsRowShown="0">
  <autoFilter ref="A1:H25" xr:uid="{065341A2-8FAB-419C-967E-E11524F8592E}"/>
  <tableColumns count="8">
    <tableColumn id="1" xr3:uid="{048300C9-D3A2-46A2-92C4-97D17B3070DA}" name="FECHA "/>
    <tableColumn id="2" xr3:uid="{D15CECD9-FB0E-465C-A01E-D31ABC507044}" name="DIA"/>
    <tableColumn id="3" xr3:uid="{65CF7F7A-3FDB-4DEE-A8D5-10D1CC567D0E}" name="N#"/>
    <tableColumn id="4" xr3:uid="{1E3C046B-4D1B-4626-B6A5-20427B7F0BCE}" name="INGRESOS" dataDxfId="29"/>
    <tableColumn id="5" xr3:uid="{BCFF77B7-FE5B-47BC-9B25-50ACD6D0AE16}" name="EGRESOS " dataDxfId="28"/>
    <tableColumn id="6" xr3:uid="{AD60F232-729E-4842-83B9-B7227E06CAAB}" name="TOTAL " dataDxfId="27"/>
    <tableColumn id="7" xr3:uid="{8CEDDB0A-17E9-41DB-809C-8717F3BB0930}" name="DECLARADO " dataDxfId="26"/>
    <tableColumn id="8" xr3:uid="{ADEE6E3C-ADD0-4E3B-93F6-59CB6634D9EA}" name="DIFERENCIA " dataDxfId="25"/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CF54550-A332-4449-A4B1-500EA9AF34E5}" name="Tabla3" displayName="Tabla3" ref="A1:C7" totalsRowShown="0" headerRowDxfId="6" headerRowBorderDxfId="5" tableBorderDxfId="4" totalsRowBorderDxfId="3">
  <autoFilter ref="A1:C7" xr:uid="{7CF54550-A332-4449-A4B1-500EA9AF34E5}"/>
  <tableColumns count="3">
    <tableColumn id="1" xr3:uid="{AC9B107B-E61D-4B23-B31A-708CFF5F31D1}" name="DIA DE LA SEMANA " dataDxfId="2"/>
    <tableColumn id="2" xr3:uid="{DD29FC9F-6062-4FF7-8B49-C4FF17882779}" name="VENTA DECLARADA" dataDxfId="1"/>
    <tableColumn id="3" xr3:uid="{7EBD1C93-1BEB-4C07-8B55-FB59E66B0475}" name="(PROMEDIO)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E82E-3220-4CD0-97B5-23A9BA1FF53E}">
  <dimension ref="A1:M26"/>
  <sheetViews>
    <sheetView workbookViewId="0">
      <selection activeCell="H30" sqref="H30"/>
    </sheetView>
  </sheetViews>
  <sheetFormatPr baseColWidth="10" defaultRowHeight="15" x14ac:dyDescent="0.25"/>
  <sheetData>
    <row r="1" spans="1:13" x14ac:dyDescent="0.25">
      <c r="A1" s="8" t="s">
        <v>62</v>
      </c>
      <c r="B1" s="8" t="s">
        <v>61</v>
      </c>
      <c r="C1" s="8" t="s">
        <v>60</v>
      </c>
      <c r="D1" s="8" t="s">
        <v>59</v>
      </c>
      <c r="E1" s="8" t="s">
        <v>58</v>
      </c>
      <c r="F1" s="8" t="s">
        <v>57</v>
      </c>
      <c r="G1" s="8" t="s">
        <v>56</v>
      </c>
      <c r="H1" s="8" t="s">
        <v>55</v>
      </c>
      <c r="I1" s="8" t="s">
        <v>54</v>
      </c>
      <c r="J1" s="8" t="s">
        <v>53</v>
      </c>
      <c r="K1" s="8" t="s">
        <v>52</v>
      </c>
      <c r="L1" s="8" t="s">
        <v>51</v>
      </c>
      <c r="M1" s="8" t="s">
        <v>50</v>
      </c>
    </row>
    <row r="2" spans="1:13" x14ac:dyDescent="0.25">
      <c r="A2" s="6" t="s">
        <v>49</v>
      </c>
      <c r="B2" s="6">
        <v>2214</v>
      </c>
      <c r="C2" s="6" t="s">
        <v>48</v>
      </c>
      <c r="D2" s="6" t="s">
        <v>1</v>
      </c>
      <c r="E2" s="5">
        <v>44366</v>
      </c>
      <c r="F2" s="5">
        <v>17972</v>
      </c>
      <c r="G2" s="5">
        <v>62338</v>
      </c>
      <c r="H2" s="5">
        <v>360</v>
      </c>
      <c r="I2" s="5">
        <v>61978</v>
      </c>
      <c r="J2" s="5">
        <v>3984</v>
      </c>
      <c r="K2" s="5">
        <v>61978</v>
      </c>
      <c r="L2" s="5">
        <v>48350</v>
      </c>
      <c r="M2" s="4" t="s">
        <v>0</v>
      </c>
    </row>
    <row r="3" spans="1:13" x14ac:dyDescent="0.25">
      <c r="A3" s="6" t="s">
        <v>47</v>
      </c>
      <c r="B3" s="6">
        <v>2215</v>
      </c>
      <c r="C3" s="6" t="s">
        <v>46</v>
      </c>
      <c r="D3" s="6" t="s">
        <v>1</v>
      </c>
      <c r="E3" s="5">
        <v>19122.990000000002</v>
      </c>
      <c r="F3" s="5" t="s">
        <v>0</v>
      </c>
      <c r="G3" s="5">
        <v>19122.990000000002</v>
      </c>
      <c r="H3" s="5">
        <v>1750</v>
      </c>
      <c r="I3" s="5">
        <v>17372.990000000002</v>
      </c>
      <c r="J3" s="5">
        <v>12865</v>
      </c>
      <c r="K3" s="5">
        <v>17373</v>
      </c>
      <c r="L3" s="5">
        <v>31987.99</v>
      </c>
      <c r="M3" s="4">
        <v>0.01</v>
      </c>
    </row>
    <row r="4" spans="1:13" x14ac:dyDescent="0.25">
      <c r="A4" s="6" t="s">
        <v>45</v>
      </c>
      <c r="B4" s="6">
        <v>2216</v>
      </c>
      <c r="C4" s="6" t="s">
        <v>44</v>
      </c>
      <c r="D4" s="6" t="s">
        <v>1</v>
      </c>
      <c r="E4" s="5">
        <v>16231</v>
      </c>
      <c r="F4" s="5">
        <v>251</v>
      </c>
      <c r="G4" s="5">
        <v>16482</v>
      </c>
      <c r="H4" s="5">
        <v>300</v>
      </c>
      <c r="I4" s="5">
        <v>16182</v>
      </c>
      <c r="J4" s="5" t="s">
        <v>0</v>
      </c>
      <c r="K4" s="5">
        <v>14405</v>
      </c>
      <c r="L4" s="5">
        <v>16231</v>
      </c>
      <c r="M4" s="7">
        <v>-1777</v>
      </c>
    </row>
    <row r="5" spans="1:13" x14ac:dyDescent="0.25">
      <c r="A5" s="6" t="s">
        <v>43</v>
      </c>
      <c r="B5" s="6">
        <v>2217</v>
      </c>
      <c r="C5" s="6" t="s">
        <v>42</v>
      </c>
      <c r="D5" s="6" t="s">
        <v>1</v>
      </c>
      <c r="E5" s="5">
        <v>17520.990000000002</v>
      </c>
      <c r="F5" s="5">
        <v>2465</v>
      </c>
      <c r="G5" s="5">
        <v>19985.990000000002</v>
      </c>
      <c r="H5" s="5" t="s">
        <v>0</v>
      </c>
      <c r="I5" s="5">
        <v>19985.990000000002</v>
      </c>
      <c r="J5" s="5">
        <v>29582</v>
      </c>
      <c r="K5" s="5">
        <v>17705</v>
      </c>
      <c r="L5" s="5">
        <v>47102.99</v>
      </c>
      <c r="M5" s="7">
        <v>-2280.9899999999998</v>
      </c>
    </row>
    <row r="6" spans="1:13" x14ac:dyDescent="0.25">
      <c r="A6" s="6" t="s">
        <v>41</v>
      </c>
      <c r="B6" s="6">
        <v>2218</v>
      </c>
      <c r="C6" s="6" t="s">
        <v>40</v>
      </c>
      <c r="D6" s="6" t="s">
        <v>1</v>
      </c>
      <c r="E6" s="5">
        <v>16664</v>
      </c>
      <c r="F6" s="5">
        <v>32794</v>
      </c>
      <c r="G6" s="5">
        <v>49458</v>
      </c>
      <c r="H6" s="5">
        <v>8647</v>
      </c>
      <c r="I6" s="5">
        <v>40811</v>
      </c>
      <c r="J6" s="5">
        <v>42538</v>
      </c>
      <c r="K6" s="5">
        <v>40811</v>
      </c>
      <c r="L6" s="5">
        <v>59202</v>
      </c>
      <c r="M6" s="4" t="s">
        <v>0</v>
      </c>
    </row>
    <row r="7" spans="1:13" x14ac:dyDescent="0.25">
      <c r="A7" s="6" t="s">
        <v>39</v>
      </c>
      <c r="B7" s="6">
        <v>2219</v>
      </c>
      <c r="C7" s="6" t="s">
        <v>38</v>
      </c>
      <c r="D7" s="6" t="s">
        <v>1</v>
      </c>
      <c r="E7" s="5">
        <v>40459.910000000003</v>
      </c>
      <c r="F7" s="5">
        <v>9704</v>
      </c>
      <c r="G7" s="5">
        <v>50163.91</v>
      </c>
      <c r="H7" s="5">
        <v>27687</v>
      </c>
      <c r="I7" s="5">
        <v>22476.91</v>
      </c>
      <c r="J7" s="5">
        <v>383</v>
      </c>
      <c r="K7" s="5">
        <v>22477</v>
      </c>
      <c r="L7" s="5">
        <v>40842.910000000003</v>
      </c>
      <c r="M7" s="4">
        <v>0.09</v>
      </c>
    </row>
    <row r="8" spans="1:13" x14ac:dyDescent="0.25">
      <c r="A8" s="6" t="s">
        <v>37</v>
      </c>
      <c r="B8" s="6">
        <v>2220</v>
      </c>
      <c r="C8" s="6" t="s">
        <v>36</v>
      </c>
      <c r="D8" s="6" t="s">
        <v>1</v>
      </c>
      <c r="E8" s="5">
        <v>10699</v>
      </c>
      <c r="F8" s="5">
        <v>44332</v>
      </c>
      <c r="G8" s="5">
        <v>55031</v>
      </c>
      <c r="H8" s="5">
        <v>305</v>
      </c>
      <c r="I8" s="5">
        <v>54726</v>
      </c>
      <c r="J8" s="5">
        <v>9550</v>
      </c>
      <c r="K8" s="5">
        <v>54726</v>
      </c>
      <c r="L8" s="5">
        <v>20249</v>
      </c>
      <c r="M8" s="4" t="s">
        <v>0</v>
      </c>
    </row>
    <row r="9" spans="1:13" x14ac:dyDescent="0.25">
      <c r="A9" s="6" t="s">
        <v>35</v>
      </c>
      <c r="B9" s="6">
        <v>2221</v>
      </c>
      <c r="C9" s="6" t="s">
        <v>34</v>
      </c>
      <c r="D9" s="6" t="s">
        <v>1</v>
      </c>
      <c r="E9" s="5">
        <v>30009</v>
      </c>
      <c r="F9" s="5">
        <v>4374</v>
      </c>
      <c r="G9" s="5">
        <v>34383</v>
      </c>
      <c r="H9" s="5">
        <v>3100</v>
      </c>
      <c r="I9" s="5">
        <v>31283</v>
      </c>
      <c r="J9" s="5">
        <v>49321</v>
      </c>
      <c r="K9" s="5">
        <v>31283</v>
      </c>
      <c r="L9" s="5">
        <v>79330</v>
      </c>
      <c r="M9" s="4" t="s">
        <v>0</v>
      </c>
    </row>
    <row r="10" spans="1:13" x14ac:dyDescent="0.25">
      <c r="A10" s="6" t="s">
        <v>33</v>
      </c>
      <c r="B10" s="6">
        <v>2222</v>
      </c>
      <c r="C10" s="6" t="s">
        <v>32</v>
      </c>
      <c r="D10" s="6" t="s">
        <v>1</v>
      </c>
      <c r="E10" s="5">
        <v>28737</v>
      </c>
      <c r="F10" s="5" t="s">
        <v>0</v>
      </c>
      <c r="G10" s="5">
        <v>28737</v>
      </c>
      <c r="H10" s="5" t="s">
        <v>0</v>
      </c>
      <c r="I10" s="5">
        <v>28737</v>
      </c>
      <c r="J10" s="5">
        <v>25506</v>
      </c>
      <c r="K10" s="5">
        <v>28737</v>
      </c>
      <c r="L10" s="5">
        <v>54243</v>
      </c>
      <c r="M10" s="4" t="s">
        <v>0</v>
      </c>
    </row>
    <row r="11" spans="1:13" x14ac:dyDescent="0.25">
      <c r="A11" s="6" t="s">
        <v>31</v>
      </c>
      <c r="B11" s="6">
        <v>2224</v>
      </c>
      <c r="C11" s="6" t="s">
        <v>30</v>
      </c>
      <c r="D11" s="6" t="s">
        <v>1</v>
      </c>
      <c r="E11" s="5">
        <v>23867</v>
      </c>
      <c r="F11" s="5" t="s">
        <v>0</v>
      </c>
      <c r="G11" s="5">
        <v>23867</v>
      </c>
      <c r="H11" s="5">
        <v>1977</v>
      </c>
      <c r="I11" s="5">
        <v>21890</v>
      </c>
      <c r="J11" s="5">
        <v>22444</v>
      </c>
      <c r="K11" s="5">
        <v>22088</v>
      </c>
      <c r="L11" s="5">
        <v>46311</v>
      </c>
      <c r="M11" s="4">
        <v>198</v>
      </c>
    </row>
    <row r="12" spans="1:13" x14ac:dyDescent="0.25">
      <c r="A12" s="6" t="s">
        <v>29</v>
      </c>
      <c r="B12" s="6">
        <v>2225</v>
      </c>
      <c r="C12" s="6" t="s">
        <v>28</v>
      </c>
      <c r="D12" s="6" t="s">
        <v>1</v>
      </c>
      <c r="E12" s="5">
        <v>30253</v>
      </c>
      <c r="F12" s="5">
        <v>22142</v>
      </c>
      <c r="G12" s="5">
        <v>52395</v>
      </c>
      <c r="H12" s="5">
        <v>4950</v>
      </c>
      <c r="I12" s="5">
        <v>47445</v>
      </c>
      <c r="J12" s="5">
        <v>5963</v>
      </c>
      <c r="K12" s="5">
        <v>47445</v>
      </c>
      <c r="L12" s="5">
        <v>36216</v>
      </c>
      <c r="M12" s="4" t="s">
        <v>0</v>
      </c>
    </row>
    <row r="13" spans="1:13" x14ac:dyDescent="0.25">
      <c r="A13" s="6" t="s">
        <v>27</v>
      </c>
      <c r="B13" s="6">
        <v>2226</v>
      </c>
      <c r="C13" s="6" t="s">
        <v>26</v>
      </c>
      <c r="D13" s="6" t="s">
        <v>1</v>
      </c>
      <c r="E13" s="5">
        <v>20188.990000000002</v>
      </c>
      <c r="F13" s="5">
        <v>10223</v>
      </c>
      <c r="G13" s="5">
        <v>30411.99</v>
      </c>
      <c r="H13" s="5">
        <v>17070</v>
      </c>
      <c r="I13" s="5">
        <v>13341.99</v>
      </c>
      <c r="J13" s="5">
        <v>773</v>
      </c>
      <c r="K13" s="5">
        <v>13342</v>
      </c>
      <c r="L13" s="5">
        <v>20961.990000000002</v>
      </c>
      <c r="M13" s="4">
        <v>0.01</v>
      </c>
    </row>
    <row r="14" spans="1:13" x14ac:dyDescent="0.25">
      <c r="A14" s="6" t="s">
        <v>25</v>
      </c>
      <c r="B14" s="6">
        <v>2227</v>
      </c>
      <c r="C14" s="6" t="s">
        <v>24</v>
      </c>
      <c r="D14" s="6" t="s">
        <v>1</v>
      </c>
      <c r="E14" s="5">
        <v>58360</v>
      </c>
      <c r="F14" s="5">
        <v>35776</v>
      </c>
      <c r="G14" s="5">
        <v>94136</v>
      </c>
      <c r="H14" s="5" t="s">
        <v>0</v>
      </c>
      <c r="I14" s="5">
        <v>94136</v>
      </c>
      <c r="J14" s="5">
        <v>47383</v>
      </c>
      <c r="K14" s="5">
        <v>94136</v>
      </c>
      <c r="L14" s="5">
        <v>105743</v>
      </c>
      <c r="M14" s="4" t="s">
        <v>0</v>
      </c>
    </row>
    <row r="15" spans="1:13" x14ac:dyDescent="0.25">
      <c r="A15" s="6" t="s">
        <v>23</v>
      </c>
      <c r="B15" s="6">
        <v>2228</v>
      </c>
      <c r="C15" s="6" t="s">
        <v>22</v>
      </c>
      <c r="D15" s="6" t="s">
        <v>1</v>
      </c>
      <c r="E15" s="5">
        <v>43315.99</v>
      </c>
      <c r="F15" s="5" t="s">
        <v>0</v>
      </c>
      <c r="G15" s="5">
        <v>43315.99</v>
      </c>
      <c r="H15" s="5">
        <v>5850</v>
      </c>
      <c r="I15" s="5">
        <v>37465.99</v>
      </c>
      <c r="J15" s="5" t="s">
        <v>0</v>
      </c>
      <c r="K15" s="5">
        <v>37462</v>
      </c>
      <c r="L15" s="5">
        <v>43315.99</v>
      </c>
      <c r="M15" s="7">
        <v>-3.99</v>
      </c>
    </row>
    <row r="16" spans="1:13" x14ac:dyDescent="0.25">
      <c r="A16" s="6" t="s">
        <v>21</v>
      </c>
      <c r="B16" s="6">
        <v>2229</v>
      </c>
      <c r="C16" s="6" t="s">
        <v>20</v>
      </c>
      <c r="D16" s="6" t="s">
        <v>1</v>
      </c>
      <c r="E16" s="5">
        <v>12759</v>
      </c>
      <c r="F16" s="5" t="s">
        <v>0</v>
      </c>
      <c r="G16" s="5">
        <v>12759</v>
      </c>
      <c r="H16" s="5">
        <v>3010</v>
      </c>
      <c r="I16" s="5">
        <v>9749</v>
      </c>
      <c r="J16" s="5">
        <v>20466</v>
      </c>
      <c r="K16" s="5">
        <v>8507</v>
      </c>
      <c r="L16" s="5">
        <v>33225</v>
      </c>
      <c r="M16" s="7">
        <v>-1242</v>
      </c>
    </row>
    <row r="17" spans="1:13" x14ac:dyDescent="0.25">
      <c r="A17" s="6" t="s">
        <v>19</v>
      </c>
      <c r="B17" s="6">
        <v>2230</v>
      </c>
      <c r="C17" s="6" t="s">
        <v>18</v>
      </c>
      <c r="D17" s="6" t="s">
        <v>1</v>
      </c>
      <c r="E17" s="5">
        <v>29533</v>
      </c>
      <c r="F17" s="5">
        <v>36546</v>
      </c>
      <c r="G17" s="5">
        <v>66079</v>
      </c>
      <c r="H17" s="5">
        <v>550</v>
      </c>
      <c r="I17" s="5">
        <v>65529</v>
      </c>
      <c r="J17" s="5">
        <v>116456</v>
      </c>
      <c r="K17" s="5">
        <v>66365</v>
      </c>
      <c r="L17" s="5">
        <v>145989</v>
      </c>
      <c r="M17" s="4">
        <v>836</v>
      </c>
    </row>
    <row r="18" spans="1:13" x14ac:dyDescent="0.25">
      <c r="A18" s="6" t="s">
        <v>17</v>
      </c>
      <c r="B18" s="6">
        <v>2231</v>
      </c>
      <c r="C18" s="6" t="s">
        <v>16</v>
      </c>
      <c r="D18" s="6" t="s">
        <v>1</v>
      </c>
      <c r="E18" s="5">
        <v>17205</v>
      </c>
      <c r="F18" s="5">
        <v>20774</v>
      </c>
      <c r="G18" s="5">
        <v>37979</v>
      </c>
      <c r="H18" s="5">
        <v>6945</v>
      </c>
      <c r="I18" s="5">
        <v>31034</v>
      </c>
      <c r="J18" s="5" t="s">
        <v>0</v>
      </c>
      <c r="K18" s="5">
        <v>31034</v>
      </c>
      <c r="L18" s="5">
        <v>17205</v>
      </c>
      <c r="M18" s="4" t="s">
        <v>0</v>
      </c>
    </row>
    <row r="19" spans="1:13" x14ac:dyDescent="0.25">
      <c r="A19" s="6" t="s">
        <v>15</v>
      </c>
      <c r="B19" s="6">
        <v>2232</v>
      </c>
      <c r="C19" s="6" t="s">
        <v>14</v>
      </c>
      <c r="D19" s="6" t="s">
        <v>1</v>
      </c>
      <c r="E19" s="5">
        <v>24864.49</v>
      </c>
      <c r="F19" s="5">
        <v>5720</v>
      </c>
      <c r="G19" s="5">
        <v>30584.49</v>
      </c>
      <c r="H19" s="5">
        <v>17210</v>
      </c>
      <c r="I19" s="5">
        <v>13374.49</v>
      </c>
      <c r="J19" s="5">
        <v>16244</v>
      </c>
      <c r="K19" s="5">
        <v>13883</v>
      </c>
      <c r="L19" s="5">
        <v>41108.49</v>
      </c>
      <c r="M19" s="4">
        <v>508.51</v>
      </c>
    </row>
    <row r="20" spans="1:13" x14ac:dyDescent="0.25">
      <c r="A20" s="6" t="s">
        <v>13</v>
      </c>
      <c r="B20" s="6">
        <v>2233</v>
      </c>
      <c r="C20" s="6" t="s">
        <v>12</v>
      </c>
      <c r="D20" s="6" t="s">
        <v>1</v>
      </c>
      <c r="E20" s="5">
        <v>7283.99</v>
      </c>
      <c r="F20" s="5">
        <v>8071</v>
      </c>
      <c r="G20" s="5">
        <v>15354.99</v>
      </c>
      <c r="H20" s="5" t="s">
        <v>0</v>
      </c>
      <c r="I20" s="5">
        <v>15354.99</v>
      </c>
      <c r="J20" s="5">
        <v>68586</v>
      </c>
      <c r="K20" s="5">
        <v>15355</v>
      </c>
      <c r="L20" s="5">
        <v>75869.990000000005</v>
      </c>
      <c r="M20" s="4">
        <v>0.01</v>
      </c>
    </row>
    <row r="21" spans="1:13" x14ac:dyDescent="0.25">
      <c r="A21" s="6" t="s">
        <v>11</v>
      </c>
      <c r="B21" s="6">
        <v>2234</v>
      </c>
      <c r="C21" s="6" t="s">
        <v>10</v>
      </c>
      <c r="D21" s="6" t="s">
        <v>1</v>
      </c>
      <c r="E21" s="5">
        <v>43318</v>
      </c>
      <c r="F21" s="5">
        <v>7231</v>
      </c>
      <c r="G21" s="5">
        <v>50549</v>
      </c>
      <c r="H21" s="5">
        <v>50</v>
      </c>
      <c r="I21" s="5">
        <v>50499</v>
      </c>
      <c r="J21" s="5">
        <v>44068</v>
      </c>
      <c r="K21" s="5">
        <v>51101</v>
      </c>
      <c r="L21" s="5">
        <v>87386</v>
      </c>
      <c r="M21" s="4">
        <v>602</v>
      </c>
    </row>
    <row r="22" spans="1:13" x14ac:dyDescent="0.25">
      <c r="A22" s="6" t="s">
        <v>9</v>
      </c>
      <c r="B22" s="6">
        <v>2235</v>
      </c>
      <c r="C22" s="6" t="s">
        <v>8</v>
      </c>
      <c r="D22" s="6" t="s">
        <v>1</v>
      </c>
      <c r="E22" s="5">
        <v>13557</v>
      </c>
      <c r="F22" s="5" t="s">
        <v>0</v>
      </c>
      <c r="G22" s="5">
        <v>13557</v>
      </c>
      <c r="H22" s="5">
        <v>3202</v>
      </c>
      <c r="I22" s="5">
        <v>10355</v>
      </c>
      <c r="J22" s="5" t="s">
        <v>0</v>
      </c>
      <c r="K22" s="5">
        <v>10355</v>
      </c>
      <c r="L22" s="5">
        <v>13557</v>
      </c>
      <c r="M22" s="4" t="s">
        <v>0</v>
      </c>
    </row>
    <row r="23" spans="1:13" x14ac:dyDescent="0.25">
      <c r="A23" s="6" t="s">
        <v>7</v>
      </c>
      <c r="B23" s="6">
        <v>2236</v>
      </c>
      <c r="C23" s="6" t="s">
        <v>6</v>
      </c>
      <c r="D23" s="6" t="s">
        <v>1</v>
      </c>
      <c r="E23" s="5">
        <v>20341</v>
      </c>
      <c r="F23" s="5" t="s">
        <v>0</v>
      </c>
      <c r="G23" s="5">
        <v>20341</v>
      </c>
      <c r="H23" s="5">
        <v>11671</v>
      </c>
      <c r="I23" s="5">
        <v>8670</v>
      </c>
      <c r="J23" s="5">
        <v>26178</v>
      </c>
      <c r="K23" s="5">
        <v>8850</v>
      </c>
      <c r="L23" s="5">
        <v>46519</v>
      </c>
      <c r="M23" s="4">
        <v>180</v>
      </c>
    </row>
    <row r="24" spans="1:13" x14ac:dyDescent="0.25">
      <c r="A24" s="6" t="s">
        <v>5</v>
      </c>
      <c r="B24" s="6">
        <v>2237</v>
      </c>
      <c r="C24" s="6" t="s">
        <v>4</v>
      </c>
      <c r="D24" s="6" t="s">
        <v>1</v>
      </c>
      <c r="E24" s="5">
        <v>27050.99</v>
      </c>
      <c r="F24" s="5">
        <v>7900</v>
      </c>
      <c r="G24" s="5">
        <v>34950.99</v>
      </c>
      <c r="H24" s="5">
        <v>5734</v>
      </c>
      <c r="I24" s="5">
        <v>29216.99</v>
      </c>
      <c r="J24" s="5">
        <v>3920</v>
      </c>
      <c r="K24" s="5">
        <v>29217</v>
      </c>
      <c r="L24" s="5">
        <v>30970.99</v>
      </c>
      <c r="M24" s="4">
        <v>0.01</v>
      </c>
    </row>
    <row r="25" spans="1:13" x14ac:dyDescent="0.25">
      <c r="A25" s="6" t="s">
        <v>3</v>
      </c>
      <c r="B25" s="6">
        <v>2238</v>
      </c>
      <c r="C25" s="6" t="s">
        <v>2</v>
      </c>
      <c r="D25" s="6" t="s">
        <v>1</v>
      </c>
      <c r="E25" s="5">
        <v>20692</v>
      </c>
      <c r="F25" s="5">
        <v>7887</v>
      </c>
      <c r="G25" s="5">
        <v>28579</v>
      </c>
      <c r="H25" s="5">
        <v>15048</v>
      </c>
      <c r="I25" s="5">
        <v>13531</v>
      </c>
      <c r="J25" s="5" t="s">
        <v>0</v>
      </c>
      <c r="K25" s="5">
        <v>13531</v>
      </c>
      <c r="L25" s="5">
        <v>20692</v>
      </c>
      <c r="M25" s="4" t="s">
        <v>0</v>
      </c>
    </row>
    <row r="26" spans="1:13" x14ac:dyDescent="0.25">
      <c r="A26" s="3"/>
      <c r="B26" s="3"/>
      <c r="C26" s="3"/>
      <c r="D26" s="3"/>
      <c r="E26" s="2">
        <f t="shared" ref="E26:M26" si="0">SUBTOTAL(109,E2:E25)</f>
        <v>616399.34</v>
      </c>
      <c r="F26" s="2">
        <f t="shared" si="0"/>
        <v>274162</v>
      </c>
      <c r="G26" s="2">
        <f t="shared" si="0"/>
        <v>890561.34</v>
      </c>
      <c r="H26" s="2">
        <f t="shared" si="0"/>
        <v>135416</v>
      </c>
      <c r="I26" s="2">
        <f t="shared" si="0"/>
        <v>755145.34</v>
      </c>
      <c r="J26" s="2">
        <f t="shared" si="0"/>
        <v>546210</v>
      </c>
      <c r="K26" s="2">
        <f t="shared" si="0"/>
        <v>752166</v>
      </c>
      <c r="L26" s="2">
        <f t="shared" si="0"/>
        <v>1162609.3400000001</v>
      </c>
      <c r="M26" s="1">
        <f t="shared" si="0"/>
        <v>-2979.3399999999983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67760-1FB6-4ABD-A3BE-9C8E4765F34E}">
  <dimension ref="A1:H34"/>
  <sheetViews>
    <sheetView workbookViewId="0">
      <selection activeCell="G28" sqref="G28:G33"/>
    </sheetView>
  </sheetViews>
  <sheetFormatPr baseColWidth="10" defaultRowHeight="15" x14ac:dyDescent="0.25"/>
  <cols>
    <col min="4" max="6" width="12.5703125" bestFit="1" customWidth="1"/>
    <col min="7" max="7" width="14.28515625" customWidth="1"/>
    <col min="8" max="8" width="14" customWidth="1"/>
  </cols>
  <sheetData>
    <row r="1" spans="1:8" x14ac:dyDescent="0.25">
      <c r="A1" t="s">
        <v>63</v>
      </c>
      <c r="B1" t="s">
        <v>64</v>
      </c>
      <c r="C1" t="s">
        <v>61</v>
      </c>
      <c r="D1" t="s">
        <v>56</v>
      </c>
      <c r="E1" t="s">
        <v>65</v>
      </c>
      <c r="F1" t="s">
        <v>66</v>
      </c>
      <c r="G1" t="s">
        <v>67</v>
      </c>
      <c r="H1" t="s">
        <v>68</v>
      </c>
    </row>
    <row r="2" spans="1:8" x14ac:dyDescent="0.25">
      <c r="A2" t="s">
        <v>49</v>
      </c>
      <c r="B2" t="s">
        <v>69</v>
      </c>
      <c r="C2">
        <v>2214</v>
      </c>
      <c r="D2" s="9">
        <v>62338</v>
      </c>
      <c r="E2" s="9">
        <v>360</v>
      </c>
      <c r="F2" s="9">
        <v>61978</v>
      </c>
      <c r="G2" s="9">
        <v>61978</v>
      </c>
      <c r="H2" s="10" t="s">
        <v>0</v>
      </c>
    </row>
    <row r="3" spans="1:8" x14ac:dyDescent="0.25">
      <c r="A3" t="s">
        <v>47</v>
      </c>
      <c r="B3" t="s">
        <v>70</v>
      </c>
      <c r="C3">
        <v>2215</v>
      </c>
      <c r="D3" s="9">
        <v>19122.990000000002</v>
      </c>
      <c r="E3" s="9">
        <v>1750</v>
      </c>
      <c r="F3" s="9">
        <v>17372.990000000002</v>
      </c>
      <c r="G3" s="9">
        <v>17373</v>
      </c>
      <c r="H3" s="10">
        <v>0.01</v>
      </c>
    </row>
    <row r="4" spans="1:8" x14ac:dyDescent="0.25">
      <c r="A4" t="s">
        <v>45</v>
      </c>
      <c r="B4" t="s">
        <v>71</v>
      </c>
      <c r="C4">
        <v>2216</v>
      </c>
      <c r="D4" s="9">
        <v>16482</v>
      </c>
      <c r="E4" s="9">
        <v>300</v>
      </c>
      <c r="F4" s="9">
        <v>16182</v>
      </c>
      <c r="G4" s="9">
        <v>14405</v>
      </c>
      <c r="H4" s="10">
        <v>-1777</v>
      </c>
    </row>
    <row r="5" spans="1:8" x14ac:dyDescent="0.25">
      <c r="A5" t="s">
        <v>43</v>
      </c>
      <c r="B5" t="s">
        <v>72</v>
      </c>
      <c r="C5">
        <v>2217</v>
      </c>
      <c r="D5" s="9">
        <v>19985.990000000002</v>
      </c>
      <c r="E5" s="9" t="s">
        <v>0</v>
      </c>
      <c r="F5" s="9">
        <v>19985.990000000002</v>
      </c>
      <c r="G5" s="9">
        <v>17705</v>
      </c>
      <c r="H5" s="10">
        <v>-2280.9899999999998</v>
      </c>
    </row>
    <row r="6" spans="1:8" x14ac:dyDescent="0.25">
      <c r="A6" t="s">
        <v>41</v>
      </c>
      <c r="B6" t="s">
        <v>73</v>
      </c>
      <c r="C6">
        <v>2218</v>
      </c>
      <c r="D6" s="9">
        <v>49458</v>
      </c>
      <c r="E6" s="9">
        <v>8647</v>
      </c>
      <c r="F6" s="9">
        <v>40811</v>
      </c>
      <c r="G6" s="9">
        <v>40811</v>
      </c>
      <c r="H6" s="10" t="s">
        <v>0</v>
      </c>
    </row>
    <row r="7" spans="1:8" x14ac:dyDescent="0.25">
      <c r="A7" t="s">
        <v>39</v>
      </c>
      <c r="B7" t="s">
        <v>74</v>
      </c>
      <c r="C7">
        <v>2219</v>
      </c>
      <c r="D7" s="9">
        <v>50163.91</v>
      </c>
      <c r="E7" s="9">
        <v>27687</v>
      </c>
      <c r="F7" s="9">
        <v>22476.91</v>
      </c>
      <c r="G7" s="9">
        <v>22477</v>
      </c>
      <c r="H7" s="10">
        <v>0.09</v>
      </c>
    </row>
    <row r="8" spans="1:8" x14ac:dyDescent="0.25">
      <c r="A8" t="s">
        <v>37</v>
      </c>
      <c r="B8" t="s">
        <v>69</v>
      </c>
      <c r="C8">
        <v>2220</v>
      </c>
      <c r="D8" s="9">
        <v>55031</v>
      </c>
      <c r="E8" s="9">
        <v>305</v>
      </c>
      <c r="F8" s="9">
        <v>54726</v>
      </c>
      <c r="G8" s="9">
        <v>54726</v>
      </c>
      <c r="H8" s="10" t="s">
        <v>0</v>
      </c>
    </row>
    <row r="9" spans="1:8" x14ac:dyDescent="0.25">
      <c r="A9" t="s">
        <v>35</v>
      </c>
      <c r="B9" t="s">
        <v>70</v>
      </c>
      <c r="C9">
        <v>2221</v>
      </c>
      <c r="D9" s="9">
        <v>34383</v>
      </c>
      <c r="E9" s="9">
        <v>3100</v>
      </c>
      <c r="F9" s="9">
        <v>31283</v>
      </c>
      <c r="G9" s="9">
        <v>31283</v>
      </c>
      <c r="H9" s="10" t="s">
        <v>0</v>
      </c>
    </row>
    <row r="10" spans="1:8" x14ac:dyDescent="0.25">
      <c r="A10" t="s">
        <v>33</v>
      </c>
      <c r="B10" t="s">
        <v>71</v>
      </c>
      <c r="C10">
        <v>2222</v>
      </c>
      <c r="D10" s="9">
        <v>28737</v>
      </c>
      <c r="E10" s="9" t="s">
        <v>0</v>
      </c>
      <c r="F10" s="9">
        <v>28737</v>
      </c>
      <c r="G10" s="9">
        <v>28737</v>
      </c>
      <c r="H10" s="10" t="s">
        <v>0</v>
      </c>
    </row>
    <row r="11" spans="1:8" x14ac:dyDescent="0.25">
      <c r="A11" t="s">
        <v>31</v>
      </c>
      <c r="B11" t="s">
        <v>72</v>
      </c>
      <c r="C11">
        <v>2224</v>
      </c>
      <c r="D11" s="9">
        <v>23867</v>
      </c>
      <c r="E11" s="9">
        <v>1977</v>
      </c>
      <c r="F11" s="9">
        <v>21890</v>
      </c>
      <c r="G11" s="9">
        <v>22088</v>
      </c>
      <c r="H11" s="10">
        <v>198</v>
      </c>
    </row>
    <row r="12" spans="1:8" x14ac:dyDescent="0.25">
      <c r="A12" t="s">
        <v>29</v>
      </c>
      <c r="B12" t="s">
        <v>73</v>
      </c>
      <c r="C12">
        <v>2225</v>
      </c>
      <c r="D12" s="9">
        <v>52395</v>
      </c>
      <c r="E12" s="9">
        <v>4950</v>
      </c>
      <c r="F12" s="9">
        <v>47445</v>
      </c>
      <c r="G12" s="9">
        <v>47445</v>
      </c>
      <c r="H12" s="10" t="s">
        <v>0</v>
      </c>
    </row>
    <row r="13" spans="1:8" x14ac:dyDescent="0.25">
      <c r="A13" t="s">
        <v>27</v>
      </c>
      <c r="B13" t="s">
        <v>74</v>
      </c>
      <c r="C13">
        <v>2226</v>
      </c>
      <c r="D13" s="9">
        <v>30411.99</v>
      </c>
      <c r="E13" s="9">
        <v>17070</v>
      </c>
      <c r="F13" s="9">
        <v>13341.99</v>
      </c>
      <c r="G13" s="9">
        <v>13342</v>
      </c>
      <c r="H13" s="10">
        <v>0.01</v>
      </c>
    </row>
    <row r="14" spans="1:8" x14ac:dyDescent="0.25">
      <c r="A14" t="s">
        <v>25</v>
      </c>
      <c r="B14" t="s">
        <v>69</v>
      </c>
      <c r="C14">
        <v>2227</v>
      </c>
      <c r="D14" s="9">
        <v>94136</v>
      </c>
      <c r="E14" s="9" t="s">
        <v>0</v>
      </c>
      <c r="F14" s="9">
        <v>94136</v>
      </c>
      <c r="G14" s="9">
        <v>94136</v>
      </c>
      <c r="H14" s="10" t="s">
        <v>0</v>
      </c>
    </row>
    <row r="15" spans="1:8" x14ac:dyDescent="0.25">
      <c r="A15" t="s">
        <v>23</v>
      </c>
      <c r="B15" t="s">
        <v>70</v>
      </c>
      <c r="C15">
        <v>2228</v>
      </c>
      <c r="D15" s="9">
        <v>43315.99</v>
      </c>
      <c r="E15" s="9">
        <v>5850</v>
      </c>
      <c r="F15" s="9">
        <v>37465.99</v>
      </c>
      <c r="G15" s="9">
        <v>37462</v>
      </c>
      <c r="H15" s="10">
        <v>-3.99</v>
      </c>
    </row>
    <row r="16" spans="1:8" x14ac:dyDescent="0.25">
      <c r="A16" t="s">
        <v>21</v>
      </c>
      <c r="B16" t="s">
        <v>71</v>
      </c>
      <c r="C16">
        <v>2229</v>
      </c>
      <c r="D16" s="9">
        <v>12759</v>
      </c>
      <c r="E16" s="9">
        <v>3010</v>
      </c>
      <c r="F16" s="9">
        <v>9749</v>
      </c>
      <c r="G16" s="9">
        <v>8507</v>
      </c>
      <c r="H16" s="10">
        <v>-1242</v>
      </c>
    </row>
    <row r="17" spans="1:8" x14ac:dyDescent="0.25">
      <c r="A17" t="s">
        <v>19</v>
      </c>
      <c r="B17" t="s">
        <v>72</v>
      </c>
      <c r="C17">
        <v>2230</v>
      </c>
      <c r="D17" s="9">
        <v>66079</v>
      </c>
      <c r="E17" s="9">
        <v>550</v>
      </c>
      <c r="F17" s="9">
        <v>65529</v>
      </c>
      <c r="G17" s="9">
        <v>66365</v>
      </c>
      <c r="H17" s="10">
        <v>836</v>
      </c>
    </row>
    <row r="18" spans="1:8" x14ac:dyDescent="0.25">
      <c r="A18" t="s">
        <v>17</v>
      </c>
      <c r="B18" t="s">
        <v>73</v>
      </c>
      <c r="C18">
        <v>2231</v>
      </c>
      <c r="D18" s="9">
        <v>37979</v>
      </c>
      <c r="E18" s="9">
        <v>6945</v>
      </c>
      <c r="F18" s="9">
        <v>31034</v>
      </c>
      <c r="G18" s="9">
        <v>31034</v>
      </c>
      <c r="H18" s="10" t="s">
        <v>0</v>
      </c>
    </row>
    <row r="19" spans="1:8" x14ac:dyDescent="0.25">
      <c r="A19" t="s">
        <v>15</v>
      </c>
      <c r="B19" t="s">
        <v>74</v>
      </c>
      <c r="C19">
        <v>2232</v>
      </c>
      <c r="D19" s="9">
        <v>30584.49</v>
      </c>
      <c r="E19" s="9">
        <v>17210</v>
      </c>
      <c r="F19" s="9">
        <v>13374.49</v>
      </c>
      <c r="G19" s="9">
        <v>13883</v>
      </c>
      <c r="H19" s="10">
        <v>508.51</v>
      </c>
    </row>
    <row r="20" spans="1:8" x14ac:dyDescent="0.25">
      <c r="A20" t="s">
        <v>13</v>
      </c>
      <c r="B20" t="s">
        <v>69</v>
      </c>
      <c r="C20">
        <v>2233</v>
      </c>
      <c r="D20" s="9">
        <v>15354.99</v>
      </c>
      <c r="E20" s="9" t="s">
        <v>0</v>
      </c>
      <c r="F20" s="9">
        <v>15354.99</v>
      </c>
      <c r="G20" s="9">
        <v>15355</v>
      </c>
      <c r="H20" s="10">
        <v>0.01</v>
      </c>
    </row>
    <row r="21" spans="1:8" x14ac:dyDescent="0.25">
      <c r="A21" t="s">
        <v>11</v>
      </c>
      <c r="B21" t="s">
        <v>70</v>
      </c>
      <c r="C21">
        <v>2234</v>
      </c>
      <c r="D21" s="9">
        <v>50549</v>
      </c>
      <c r="E21" s="9">
        <v>50</v>
      </c>
      <c r="F21" s="9">
        <v>50499</v>
      </c>
      <c r="G21" s="9">
        <v>51101</v>
      </c>
      <c r="H21" s="10">
        <v>602</v>
      </c>
    </row>
    <row r="22" spans="1:8" x14ac:dyDescent="0.25">
      <c r="A22" t="s">
        <v>9</v>
      </c>
      <c r="B22" t="s">
        <v>71</v>
      </c>
      <c r="C22">
        <v>2235</v>
      </c>
      <c r="D22" s="9">
        <v>13557</v>
      </c>
      <c r="E22" s="9">
        <v>3202</v>
      </c>
      <c r="F22" s="9">
        <v>10355</v>
      </c>
      <c r="G22" s="9">
        <v>10355</v>
      </c>
      <c r="H22" s="10" t="s">
        <v>0</v>
      </c>
    </row>
    <row r="23" spans="1:8" x14ac:dyDescent="0.25">
      <c r="A23" t="s">
        <v>7</v>
      </c>
      <c r="B23" t="s">
        <v>72</v>
      </c>
      <c r="C23">
        <v>2236</v>
      </c>
      <c r="D23" s="9">
        <v>20341</v>
      </c>
      <c r="E23" s="9">
        <v>11671</v>
      </c>
      <c r="F23" s="9">
        <v>8670</v>
      </c>
      <c r="G23" s="9">
        <v>8850</v>
      </c>
      <c r="H23" s="10">
        <v>180</v>
      </c>
    </row>
    <row r="24" spans="1:8" x14ac:dyDescent="0.25">
      <c r="A24" t="s">
        <v>5</v>
      </c>
      <c r="B24" t="s">
        <v>73</v>
      </c>
      <c r="C24">
        <v>2237</v>
      </c>
      <c r="D24" s="9">
        <v>34950.99</v>
      </c>
      <c r="E24" s="9">
        <v>5734</v>
      </c>
      <c r="F24" s="9">
        <v>29216.99</v>
      </c>
      <c r="G24" s="9">
        <v>29217</v>
      </c>
      <c r="H24" s="10">
        <v>0.01</v>
      </c>
    </row>
    <row r="25" spans="1:8" x14ac:dyDescent="0.25">
      <c r="A25" t="s">
        <v>3</v>
      </c>
      <c r="B25" t="s">
        <v>74</v>
      </c>
      <c r="C25">
        <v>2238</v>
      </c>
      <c r="D25" s="9">
        <v>28579</v>
      </c>
      <c r="E25" s="9">
        <v>15048</v>
      </c>
      <c r="F25" s="9">
        <v>13531</v>
      </c>
      <c r="G25" s="9">
        <v>13531</v>
      </c>
      <c r="H25" s="10" t="s">
        <v>0</v>
      </c>
    </row>
    <row r="27" spans="1:8" x14ac:dyDescent="0.25">
      <c r="B27" s="26" t="s">
        <v>75</v>
      </c>
      <c r="C27" s="26"/>
      <c r="D27" s="11" t="s">
        <v>56</v>
      </c>
      <c r="E27" s="12" t="s">
        <v>55</v>
      </c>
      <c r="F27" s="12" t="s">
        <v>54</v>
      </c>
      <c r="G27" s="12" t="s">
        <v>52</v>
      </c>
      <c r="H27" s="12" t="s">
        <v>50</v>
      </c>
    </row>
    <row r="28" spans="1:8" x14ac:dyDescent="0.25">
      <c r="B28" s="25" t="s">
        <v>76</v>
      </c>
      <c r="C28" s="25"/>
      <c r="D28" s="9">
        <v>226859.99</v>
      </c>
      <c r="E28" s="9">
        <v>665</v>
      </c>
      <c r="F28" s="9">
        <v>226194.99</v>
      </c>
      <c r="G28" s="9">
        <v>226195</v>
      </c>
      <c r="H28" s="9">
        <v>0.01</v>
      </c>
    </row>
    <row r="29" spans="1:8" x14ac:dyDescent="0.25">
      <c r="B29" s="25" t="s">
        <v>77</v>
      </c>
      <c r="C29" s="25"/>
      <c r="D29" s="9">
        <v>147370.98000000001</v>
      </c>
      <c r="E29" s="9">
        <v>10750</v>
      </c>
      <c r="F29" s="9">
        <v>136620.98000000001</v>
      </c>
      <c r="G29" s="9">
        <v>137219</v>
      </c>
      <c r="H29" s="9">
        <v>598.02</v>
      </c>
    </row>
    <row r="30" spans="1:8" x14ac:dyDescent="0.25">
      <c r="B30" s="25" t="s">
        <v>78</v>
      </c>
      <c r="C30" s="25"/>
      <c r="D30" s="9">
        <v>71535</v>
      </c>
      <c r="E30" s="9">
        <v>6512</v>
      </c>
      <c r="F30" s="9">
        <v>65023</v>
      </c>
      <c r="G30" s="9">
        <v>62004</v>
      </c>
      <c r="H30" s="9">
        <v>-3019</v>
      </c>
    </row>
    <row r="31" spans="1:8" x14ac:dyDescent="0.25">
      <c r="B31" s="25" t="s">
        <v>79</v>
      </c>
      <c r="C31" s="25"/>
      <c r="D31" s="9">
        <v>130272.99</v>
      </c>
      <c r="E31" s="9">
        <v>14198</v>
      </c>
      <c r="F31" s="9">
        <v>116074.99</v>
      </c>
      <c r="G31" s="9">
        <v>115008</v>
      </c>
      <c r="H31" s="9">
        <v>-1066.9899999999998</v>
      </c>
    </row>
    <row r="32" spans="1:8" x14ac:dyDescent="0.25">
      <c r="B32" s="25" t="s">
        <v>80</v>
      </c>
      <c r="C32" s="25"/>
      <c r="D32" s="9">
        <v>174782.99</v>
      </c>
      <c r="E32" s="9">
        <v>26276</v>
      </c>
      <c r="F32" s="9">
        <v>148506.99</v>
      </c>
      <c r="G32" s="9">
        <v>148507</v>
      </c>
      <c r="H32" s="9">
        <v>0.01</v>
      </c>
    </row>
    <row r="33" spans="2:8" x14ac:dyDescent="0.25">
      <c r="B33" s="25" t="s">
        <v>81</v>
      </c>
      <c r="C33" s="25"/>
      <c r="D33" s="9">
        <v>139739.39000000001</v>
      </c>
      <c r="E33" s="9">
        <v>77015</v>
      </c>
      <c r="F33" s="9">
        <v>62724.39</v>
      </c>
      <c r="G33" s="9">
        <v>63233</v>
      </c>
      <c r="H33" s="9">
        <v>508.61</v>
      </c>
    </row>
    <row r="34" spans="2:8" x14ac:dyDescent="0.25">
      <c r="B34" s="26" t="s">
        <v>54</v>
      </c>
      <c r="C34" s="26"/>
      <c r="D34" s="9">
        <v>890561.34</v>
      </c>
      <c r="E34" s="9">
        <v>135416</v>
      </c>
      <c r="F34" s="9">
        <v>755145.34</v>
      </c>
      <c r="G34" s="9">
        <v>752166</v>
      </c>
      <c r="H34" s="9">
        <v>-2979.3399999999997</v>
      </c>
    </row>
  </sheetData>
  <mergeCells count="8">
    <mergeCell ref="B33:C33"/>
    <mergeCell ref="B34:C34"/>
    <mergeCell ref="B27:C27"/>
    <mergeCell ref="B28:C28"/>
    <mergeCell ref="B29:C29"/>
    <mergeCell ref="B30:C30"/>
    <mergeCell ref="B31:C31"/>
    <mergeCell ref="B32:C3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3AEDB-A1E6-4596-AD21-26B7897C03ED}">
  <dimension ref="A3:E40"/>
  <sheetViews>
    <sheetView topLeftCell="A13" workbookViewId="0">
      <selection activeCell="G14" sqref="G14"/>
    </sheetView>
  </sheetViews>
  <sheetFormatPr baseColWidth="10" defaultRowHeight="15" x14ac:dyDescent="0.25"/>
  <cols>
    <col min="1" max="1" width="12.5703125" bestFit="1" customWidth="1"/>
    <col min="2" max="2" width="10.7109375" bestFit="1" customWidth="1"/>
    <col min="3" max="3" width="16.140625" bestFit="1" customWidth="1"/>
    <col min="4" max="4" width="20.28515625" bestFit="1" customWidth="1"/>
    <col min="5" max="5" width="20" bestFit="1" customWidth="1"/>
  </cols>
  <sheetData>
    <row r="3" spans="1:5" x14ac:dyDescent="0.25">
      <c r="C3" t="s">
        <v>85</v>
      </c>
      <c r="D3" t="s">
        <v>83</v>
      </c>
      <c r="E3" t="s">
        <v>84</v>
      </c>
    </row>
    <row r="4" spans="1:5" x14ac:dyDescent="0.25">
      <c r="A4" t="s">
        <v>69</v>
      </c>
      <c r="C4" s="13"/>
      <c r="D4" s="13"/>
      <c r="E4" s="13"/>
    </row>
    <row r="5" spans="1:5" x14ac:dyDescent="0.25">
      <c r="B5" t="s">
        <v>49</v>
      </c>
      <c r="C5" s="9">
        <v>62338</v>
      </c>
      <c r="D5" s="9">
        <v>61978</v>
      </c>
      <c r="E5" s="9">
        <v>0</v>
      </c>
    </row>
    <row r="6" spans="1:5" x14ac:dyDescent="0.25">
      <c r="B6" t="s">
        <v>37</v>
      </c>
      <c r="C6" s="9">
        <v>55031</v>
      </c>
      <c r="D6" s="9">
        <v>54726</v>
      </c>
      <c r="E6" s="9">
        <v>0</v>
      </c>
    </row>
    <row r="7" spans="1:5" x14ac:dyDescent="0.25">
      <c r="B7" t="s">
        <v>25</v>
      </c>
      <c r="C7" s="9">
        <v>94136</v>
      </c>
      <c r="D7" s="9">
        <v>94136</v>
      </c>
      <c r="E7" s="9">
        <v>0</v>
      </c>
    </row>
    <row r="8" spans="1:5" x14ac:dyDescent="0.25">
      <c r="B8" t="s">
        <v>13</v>
      </c>
      <c r="C8" s="9">
        <v>15354.99</v>
      </c>
      <c r="D8" s="9">
        <v>15355</v>
      </c>
      <c r="E8" s="9">
        <v>0.01</v>
      </c>
    </row>
    <row r="9" spans="1:5" x14ac:dyDescent="0.25">
      <c r="A9" t="s">
        <v>86</v>
      </c>
      <c r="C9" s="9">
        <v>226859.99</v>
      </c>
      <c r="D9" s="9">
        <v>226195</v>
      </c>
      <c r="E9" s="9">
        <v>0.01</v>
      </c>
    </row>
    <row r="10" spans="1:5" x14ac:dyDescent="0.25">
      <c r="A10" t="s">
        <v>70</v>
      </c>
      <c r="C10" s="9"/>
      <c r="D10" s="9"/>
      <c r="E10" s="9"/>
    </row>
    <row r="11" spans="1:5" x14ac:dyDescent="0.25">
      <c r="B11" t="s">
        <v>47</v>
      </c>
      <c r="C11" s="9">
        <v>19122.990000000002</v>
      </c>
      <c r="D11" s="9">
        <v>17373</v>
      </c>
      <c r="E11" s="9">
        <v>0.01</v>
      </c>
    </row>
    <row r="12" spans="1:5" x14ac:dyDescent="0.25">
      <c r="B12" t="s">
        <v>35</v>
      </c>
      <c r="C12" s="9">
        <v>34383</v>
      </c>
      <c r="D12" s="9">
        <v>31283</v>
      </c>
      <c r="E12" s="9">
        <v>0</v>
      </c>
    </row>
    <row r="13" spans="1:5" x14ac:dyDescent="0.25">
      <c r="B13" t="s">
        <v>23</v>
      </c>
      <c r="C13" s="9">
        <v>43315.99</v>
      </c>
      <c r="D13" s="9">
        <v>37462</v>
      </c>
      <c r="E13" s="9">
        <v>-3.99</v>
      </c>
    </row>
    <row r="14" spans="1:5" x14ac:dyDescent="0.25">
      <c r="B14" t="s">
        <v>11</v>
      </c>
      <c r="C14" s="9">
        <v>50549</v>
      </c>
      <c r="D14" s="9">
        <v>51101</v>
      </c>
      <c r="E14" s="9">
        <v>602</v>
      </c>
    </row>
    <row r="15" spans="1:5" x14ac:dyDescent="0.25">
      <c r="A15" t="s">
        <v>86</v>
      </c>
      <c r="C15" s="9">
        <v>147370.98000000001</v>
      </c>
      <c r="D15" s="9">
        <v>137219</v>
      </c>
      <c r="E15" s="9">
        <v>598.02</v>
      </c>
    </row>
    <row r="16" spans="1:5" x14ac:dyDescent="0.25">
      <c r="A16" t="s">
        <v>71</v>
      </c>
      <c r="C16" s="9"/>
      <c r="D16" s="9"/>
      <c r="E16" s="9"/>
    </row>
    <row r="17" spans="1:5" x14ac:dyDescent="0.25">
      <c r="B17" t="s">
        <v>45</v>
      </c>
      <c r="C17" s="9">
        <v>16482</v>
      </c>
      <c r="D17" s="9">
        <v>14405</v>
      </c>
      <c r="E17" s="9">
        <v>-1777</v>
      </c>
    </row>
    <row r="18" spans="1:5" x14ac:dyDescent="0.25">
      <c r="B18" t="s">
        <v>33</v>
      </c>
      <c r="C18" s="9">
        <v>28737</v>
      </c>
      <c r="D18" s="9">
        <v>28737</v>
      </c>
      <c r="E18" s="9">
        <v>0</v>
      </c>
    </row>
    <row r="19" spans="1:5" x14ac:dyDescent="0.25">
      <c r="B19" t="s">
        <v>21</v>
      </c>
      <c r="C19" s="9">
        <v>12759</v>
      </c>
      <c r="D19" s="9">
        <v>8507</v>
      </c>
      <c r="E19" s="9">
        <v>-1242</v>
      </c>
    </row>
    <row r="20" spans="1:5" x14ac:dyDescent="0.25">
      <c r="B20" t="s">
        <v>9</v>
      </c>
      <c r="C20" s="9">
        <v>13557</v>
      </c>
      <c r="D20" s="9">
        <v>10355</v>
      </c>
      <c r="E20" s="9">
        <v>0</v>
      </c>
    </row>
    <row r="21" spans="1:5" x14ac:dyDescent="0.25">
      <c r="A21" t="s">
        <v>86</v>
      </c>
      <c r="C21" s="9">
        <v>71535</v>
      </c>
      <c r="D21" s="9">
        <v>62004</v>
      </c>
      <c r="E21" s="9">
        <v>-3019</v>
      </c>
    </row>
    <row r="22" spans="1:5" x14ac:dyDescent="0.25">
      <c r="A22" t="s">
        <v>72</v>
      </c>
      <c r="C22" s="9"/>
      <c r="D22" s="9"/>
      <c r="E22" s="9"/>
    </row>
    <row r="23" spans="1:5" x14ac:dyDescent="0.25">
      <c r="B23" t="s">
        <v>43</v>
      </c>
      <c r="C23" s="9">
        <v>19985.990000000002</v>
      </c>
      <c r="D23" s="9">
        <v>17705</v>
      </c>
      <c r="E23" s="9">
        <v>-2280.9899999999998</v>
      </c>
    </row>
    <row r="24" spans="1:5" x14ac:dyDescent="0.25">
      <c r="B24" t="s">
        <v>31</v>
      </c>
      <c r="C24" s="9">
        <v>23867</v>
      </c>
      <c r="D24" s="9">
        <v>22088</v>
      </c>
      <c r="E24" s="9">
        <v>198</v>
      </c>
    </row>
    <row r="25" spans="1:5" x14ac:dyDescent="0.25">
      <c r="B25" t="s">
        <v>19</v>
      </c>
      <c r="C25" s="9">
        <v>66079</v>
      </c>
      <c r="D25" s="9">
        <v>66365</v>
      </c>
      <c r="E25" s="9">
        <v>836</v>
      </c>
    </row>
    <row r="26" spans="1:5" x14ac:dyDescent="0.25">
      <c r="B26" t="s">
        <v>7</v>
      </c>
      <c r="C26" s="9">
        <v>20341</v>
      </c>
      <c r="D26" s="9">
        <v>8850</v>
      </c>
      <c r="E26" s="9">
        <v>180</v>
      </c>
    </row>
    <row r="27" spans="1:5" x14ac:dyDescent="0.25">
      <c r="A27" t="s">
        <v>86</v>
      </c>
      <c r="C27" s="9">
        <v>130272.99</v>
      </c>
      <c r="D27" s="9">
        <v>115008</v>
      </c>
      <c r="E27" s="9">
        <v>-1066.9899999999998</v>
      </c>
    </row>
    <row r="28" spans="1:5" x14ac:dyDescent="0.25">
      <c r="A28" t="s">
        <v>73</v>
      </c>
      <c r="C28" s="9"/>
      <c r="D28" s="9"/>
      <c r="E28" s="9"/>
    </row>
    <row r="29" spans="1:5" x14ac:dyDescent="0.25">
      <c r="B29" t="s">
        <v>41</v>
      </c>
      <c r="C29" s="9">
        <v>49458</v>
      </c>
      <c r="D29" s="9">
        <v>40811</v>
      </c>
      <c r="E29" s="9">
        <v>0</v>
      </c>
    </row>
    <row r="30" spans="1:5" x14ac:dyDescent="0.25">
      <c r="B30" t="s">
        <v>29</v>
      </c>
      <c r="C30" s="9">
        <v>52395</v>
      </c>
      <c r="D30" s="9">
        <v>47445</v>
      </c>
      <c r="E30" s="9">
        <v>0</v>
      </c>
    </row>
    <row r="31" spans="1:5" x14ac:dyDescent="0.25">
      <c r="B31" t="s">
        <v>17</v>
      </c>
      <c r="C31" s="9">
        <v>37979</v>
      </c>
      <c r="D31" s="9">
        <v>31034</v>
      </c>
      <c r="E31" s="9">
        <v>0</v>
      </c>
    </row>
    <row r="32" spans="1:5" x14ac:dyDescent="0.25">
      <c r="B32" t="s">
        <v>5</v>
      </c>
      <c r="C32" s="9">
        <v>34950.99</v>
      </c>
      <c r="D32" s="9">
        <v>29217</v>
      </c>
      <c r="E32" s="9">
        <v>0.01</v>
      </c>
    </row>
    <row r="33" spans="1:5" x14ac:dyDescent="0.25">
      <c r="A33" t="s">
        <v>86</v>
      </c>
      <c r="C33" s="9">
        <v>174782.99</v>
      </c>
      <c r="D33" s="9">
        <v>148507</v>
      </c>
      <c r="E33" s="9">
        <v>0.01</v>
      </c>
    </row>
    <row r="34" spans="1:5" x14ac:dyDescent="0.25">
      <c r="A34" t="s">
        <v>74</v>
      </c>
      <c r="C34" s="9"/>
      <c r="D34" s="9"/>
      <c r="E34" s="9"/>
    </row>
    <row r="35" spans="1:5" x14ac:dyDescent="0.25">
      <c r="B35" t="s">
        <v>39</v>
      </c>
      <c r="C35" s="9">
        <v>50163.91</v>
      </c>
      <c r="D35" s="9">
        <v>22477</v>
      </c>
      <c r="E35" s="9">
        <v>0.09</v>
      </c>
    </row>
    <row r="36" spans="1:5" x14ac:dyDescent="0.25">
      <c r="B36" t="s">
        <v>27</v>
      </c>
      <c r="C36" s="9">
        <v>30411.99</v>
      </c>
      <c r="D36" s="9">
        <v>13342</v>
      </c>
      <c r="E36" s="9">
        <v>0.01</v>
      </c>
    </row>
    <row r="37" spans="1:5" x14ac:dyDescent="0.25">
      <c r="B37" t="s">
        <v>15</v>
      </c>
      <c r="C37" s="9">
        <v>30584.49</v>
      </c>
      <c r="D37" s="9">
        <v>13883</v>
      </c>
      <c r="E37" s="9">
        <v>508.51</v>
      </c>
    </row>
    <row r="38" spans="1:5" x14ac:dyDescent="0.25">
      <c r="B38" t="s">
        <v>3</v>
      </c>
      <c r="C38" s="9">
        <v>28579</v>
      </c>
      <c r="D38" s="9">
        <v>13531</v>
      </c>
      <c r="E38" s="9">
        <v>0</v>
      </c>
    </row>
    <row r="39" spans="1:5" x14ac:dyDescent="0.25">
      <c r="A39" t="s">
        <v>86</v>
      </c>
      <c r="C39" s="9">
        <v>139739.39000000001</v>
      </c>
      <c r="D39" s="9">
        <v>63233</v>
      </c>
      <c r="E39" s="9">
        <v>508.61</v>
      </c>
    </row>
    <row r="40" spans="1:5" x14ac:dyDescent="0.25">
      <c r="A40" t="s">
        <v>82</v>
      </c>
      <c r="C40" s="9">
        <v>890561.34</v>
      </c>
      <c r="D40" s="9">
        <v>752166</v>
      </c>
      <c r="E40" s="9">
        <v>-2979.3399999999992</v>
      </c>
    </row>
  </sheetData>
  <conditionalFormatting pivot="1" sqref="E4:E40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{E1BEBDBA-3F36-451F-939B-7585F2B630BF}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1BEBDBA-3F36-451F-939B-7585F2B630B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E4:E40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F816D-1C80-4005-8186-C3C037FBC5B2}">
  <dimension ref="A1:C13"/>
  <sheetViews>
    <sheetView tabSelected="1" workbookViewId="0">
      <selection activeCell="J24" sqref="J24"/>
    </sheetView>
  </sheetViews>
  <sheetFormatPr baseColWidth="10" defaultRowHeight="15" x14ac:dyDescent="0.25"/>
  <cols>
    <col min="1" max="1" width="19.7109375" customWidth="1"/>
    <col min="2" max="2" width="17.28515625" customWidth="1"/>
    <col min="3" max="3" width="13" customWidth="1"/>
  </cols>
  <sheetData>
    <row r="1" spans="1:3" x14ac:dyDescent="0.25">
      <c r="A1" s="20" t="s">
        <v>87</v>
      </c>
      <c r="B1" s="21" t="s">
        <v>88</v>
      </c>
      <c r="C1" s="22" t="s">
        <v>89</v>
      </c>
    </row>
    <row r="2" spans="1:3" x14ac:dyDescent="0.25">
      <c r="A2" s="14" t="s">
        <v>90</v>
      </c>
      <c r="B2" s="15">
        <v>226195</v>
      </c>
      <c r="C2" s="16">
        <f>AVERAGE(B2:B7)</f>
        <v>125361</v>
      </c>
    </row>
    <row r="3" spans="1:3" x14ac:dyDescent="0.25">
      <c r="A3" s="14" t="s">
        <v>91</v>
      </c>
      <c r="B3" s="15">
        <v>137219</v>
      </c>
      <c r="C3" s="16">
        <v>125361</v>
      </c>
    </row>
    <row r="4" spans="1:3" x14ac:dyDescent="0.25">
      <c r="A4" s="14" t="s">
        <v>71</v>
      </c>
      <c r="B4" s="15">
        <v>62004</v>
      </c>
      <c r="C4" s="16">
        <v>125361</v>
      </c>
    </row>
    <row r="5" spans="1:3" x14ac:dyDescent="0.25">
      <c r="A5" s="14" t="s">
        <v>72</v>
      </c>
      <c r="B5" s="15">
        <v>115008</v>
      </c>
      <c r="C5" s="16">
        <v>125361</v>
      </c>
    </row>
    <row r="6" spans="1:3" x14ac:dyDescent="0.25">
      <c r="A6" s="14" t="s">
        <v>73</v>
      </c>
      <c r="B6" s="15">
        <v>148507</v>
      </c>
      <c r="C6" s="16">
        <v>125361</v>
      </c>
    </row>
    <row r="7" spans="1:3" x14ac:dyDescent="0.25">
      <c r="A7" s="17" t="s">
        <v>74</v>
      </c>
      <c r="B7" s="18">
        <v>63233</v>
      </c>
      <c r="C7" s="19">
        <v>125361</v>
      </c>
    </row>
    <row r="9" spans="1:3" x14ac:dyDescent="0.25">
      <c r="A9" s="23" t="s">
        <v>92</v>
      </c>
      <c r="B9" s="24">
        <f>AVERAGE(B2:B7)</f>
        <v>125361</v>
      </c>
    </row>
    <row r="10" spans="1:3" x14ac:dyDescent="0.25">
      <c r="A10" s="23" t="s">
        <v>93</v>
      </c>
      <c r="B10" s="24">
        <f>MAX(B2:B7)</f>
        <v>226195</v>
      </c>
    </row>
    <row r="11" spans="1:3" x14ac:dyDescent="0.25">
      <c r="A11" s="23" t="s">
        <v>94</v>
      </c>
      <c r="B11" s="24">
        <f>MIN(B2:B7)</f>
        <v>62004</v>
      </c>
    </row>
    <row r="12" spans="1:3" x14ac:dyDescent="0.25">
      <c r="A12" s="27" t="s">
        <v>95</v>
      </c>
      <c r="B12" s="27"/>
      <c r="C12" s="28"/>
    </row>
    <row r="13" spans="1:3" x14ac:dyDescent="0.25">
      <c r="A13" s="28"/>
      <c r="B13" s="28"/>
      <c r="C13" s="28"/>
    </row>
  </sheetData>
  <mergeCells count="1">
    <mergeCell ref="A12:C13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FEBRERO 2026</vt:lpstr>
      <vt:lpstr>DIA DE LA SEMANA </vt:lpstr>
      <vt:lpstr>RESUME DE LOS DIAS DE LA SEMANA</vt:lpstr>
      <vt:lpstr>GRAFICA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iQuantum</cp:lastModifiedBy>
  <dcterms:created xsi:type="dcterms:W3CDTF">2026-03-07T20:00:16Z</dcterms:created>
  <dcterms:modified xsi:type="dcterms:W3CDTF">2026-03-08T00:38:33Z</dcterms:modified>
</cp:coreProperties>
</file>