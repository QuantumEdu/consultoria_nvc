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02-A\code\Consultoria-Alimentos\analisis\sin clave\"/>
    </mc:Choice>
  </mc:AlternateContent>
  <xr:revisionPtr revIDLastSave="0" documentId="8_{7CB35819-3B8D-4388-9762-E4CE5D6A9CEA}" xr6:coauthVersionLast="47" xr6:coauthVersionMax="47" xr10:uidLastSave="{00000000-0000-0000-0000-000000000000}"/>
  <bookViews>
    <workbookView xWindow="7395" yWindow="4290" windowWidth="23625" windowHeight="15345" firstSheet="2" activeTab="3" xr2:uid="{AEC742BB-AD98-456A-9539-688A9005456D}"/>
  </bookViews>
  <sheets>
    <sheet name="CORTE DE CAJA FEBRERO 2026" sheetId="1" r:id="rId1"/>
    <sheet name="DIA DE LA SEMANA " sheetId="2" r:id="rId2"/>
    <sheet name="RESUMEN LOS DIAS DE LA SEMANA" sheetId="5" r:id="rId3"/>
    <sheet name="GRAFICA" sheetId="3" r:id="rId4"/>
  </sheet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1" i="3" l="1"/>
  <c r="B10" i="3"/>
  <c r="B9" i="3"/>
  <c r="C3" i="3"/>
  <c r="C4" i="3"/>
  <c r="C5" i="3"/>
  <c r="C6" i="3"/>
  <c r="C7" i="3"/>
  <c r="C2" i="3"/>
  <c r="H33" i="2"/>
  <c r="G33" i="2"/>
  <c r="F33" i="2"/>
  <c r="E33" i="2"/>
  <c r="D33" i="2"/>
  <c r="H32" i="2"/>
  <c r="G32" i="2"/>
  <c r="F32" i="2"/>
  <c r="E32" i="2"/>
  <c r="D32" i="2"/>
  <c r="H31" i="2"/>
  <c r="G31" i="2"/>
  <c r="F31" i="2"/>
  <c r="E31" i="2"/>
  <c r="D31" i="2"/>
  <c r="E30" i="2"/>
  <c r="D30" i="2"/>
  <c r="H30" i="2"/>
  <c r="G30" i="2"/>
  <c r="F30" i="2"/>
  <c r="H29" i="2"/>
  <c r="G29" i="2"/>
  <c r="F29" i="2"/>
  <c r="E29" i="2"/>
  <c r="D29" i="2"/>
  <c r="H28" i="2"/>
  <c r="H34" i="2" s="1"/>
  <c r="G28" i="2"/>
  <c r="G34" i="2" s="1"/>
  <c r="F28" i="2"/>
  <c r="F34" i="2" s="1"/>
  <c r="E28" i="2"/>
  <c r="E34" i="2" s="1"/>
  <c r="D28" i="2"/>
  <c r="D34" i="2" s="1"/>
  <c r="E26" i="1"/>
  <c r="F26" i="1"/>
  <c r="G26" i="1"/>
  <c r="H26" i="1"/>
  <c r="I26" i="1"/>
  <c r="J26" i="1"/>
  <c r="K26" i="1"/>
  <c r="L26" i="1"/>
  <c r="M26" i="1"/>
</calcChain>
</file>

<file path=xl/sharedStrings.xml><?xml version="1.0" encoding="utf-8"?>
<sst xmlns="http://schemas.openxmlformats.org/spreadsheetml/2006/main" count="243" uniqueCount="94">
  <si>
    <t>CAJA</t>
  </si>
  <si>
    <t>05:17:59</t>
  </si>
  <si>
    <t>28/02/2026</t>
  </si>
  <si>
    <t>$0.00</t>
  </si>
  <si>
    <t>05:57:58</t>
  </si>
  <si>
    <t>27/02/2026</t>
  </si>
  <si>
    <t>05:55:02</t>
  </si>
  <si>
    <t>26/02/2026</t>
  </si>
  <si>
    <t>07:02:59</t>
  </si>
  <si>
    <t>25/02/2026</t>
  </si>
  <si>
    <t>05:56:12</t>
  </si>
  <si>
    <t>24/02/2026</t>
  </si>
  <si>
    <t>05:34:09</t>
  </si>
  <si>
    <t>23/02/2026</t>
  </si>
  <si>
    <t>04:28:06</t>
  </si>
  <si>
    <t>21/02/2026</t>
  </si>
  <si>
    <t>06:01:24</t>
  </si>
  <si>
    <t>20/02/2026</t>
  </si>
  <si>
    <t>06:03:31</t>
  </si>
  <si>
    <t>19/02/2026</t>
  </si>
  <si>
    <t>06:12:05</t>
  </si>
  <si>
    <t>18/02/2026</t>
  </si>
  <si>
    <t>06:04:16</t>
  </si>
  <si>
    <t>17/02/2026</t>
  </si>
  <si>
    <t>06:17:21</t>
  </si>
  <si>
    <t>16/02/2026</t>
  </si>
  <si>
    <t>05:19:00</t>
  </si>
  <si>
    <t>14/02/2026</t>
  </si>
  <si>
    <t>05:57:14</t>
  </si>
  <si>
    <t>13/02/2026</t>
  </si>
  <si>
    <t>06:05:57</t>
  </si>
  <si>
    <t>12/02/2026</t>
  </si>
  <si>
    <t>05:59:58</t>
  </si>
  <si>
    <t>11/02/2026</t>
  </si>
  <si>
    <t>05:55:54</t>
  </si>
  <si>
    <t>10/02/2026</t>
  </si>
  <si>
    <t>06:29:29</t>
  </si>
  <si>
    <t>09/02/2026</t>
  </si>
  <si>
    <t>04:21:20</t>
  </si>
  <si>
    <t>07/02/2026</t>
  </si>
  <si>
    <t>06:13:32</t>
  </si>
  <si>
    <t>06/02/2026</t>
  </si>
  <si>
    <t>06:03:59</t>
  </si>
  <si>
    <t>05/02/2026</t>
  </si>
  <si>
    <t>05:51:34</t>
  </si>
  <si>
    <t>04/02/2026</t>
  </si>
  <si>
    <t>06:45:42</t>
  </si>
  <si>
    <t>03/02/2026</t>
  </si>
  <si>
    <t>06:05:37</t>
  </si>
  <si>
    <t>02/02/2026</t>
  </si>
  <si>
    <t>DIFERENCIA</t>
  </si>
  <si>
    <t>VENTA/CRED</t>
  </si>
  <si>
    <t>DECLARADO</t>
  </si>
  <si>
    <t>CREDITO</t>
  </si>
  <si>
    <t>TOTAL</t>
  </si>
  <si>
    <t>EGRESOS</t>
  </si>
  <si>
    <t>INGRESOS</t>
  </si>
  <si>
    <t>COBRANZA</t>
  </si>
  <si>
    <t>VENTAS</t>
  </si>
  <si>
    <t>CAJERO</t>
  </si>
  <si>
    <t>HORA</t>
  </si>
  <si>
    <t>N#</t>
  </si>
  <si>
    <t>FECHA</t>
  </si>
  <si>
    <t xml:space="preserve">DIA DE LA SEMANA </t>
  </si>
  <si>
    <t>VENTA DECLARADA</t>
  </si>
  <si>
    <t>(PROMEDIO)</t>
  </si>
  <si>
    <t>LUNES</t>
  </si>
  <si>
    <t>MARTES</t>
  </si>
  <si>
    <t>MIERCOLES</t>
  </si>
  <si>
    <t>JUEVES</t>
  </si>
  <si>
    <t>VIERNES</t>
  </si>
  <si>
    <t>SABADO</t>
  </si>
  <si>
    <t>PROMEDIO GENERAL</t>
  </si>
  <si>
    <t>VENTA MAXIMA</t>
  </si>
  <si>
    <t>VENTA MINIMA</t>
  </si>
  <si>
    <t>"NOTA LAS CANTIDADES QUE SE MUESTRAN EN LA GRAFICA PERTENECEN A LO QUE SE DECLARO".</t>
  </si>
  <si>
    <t xml:space="preserve">FECHA </t>
  </si>
  <si>
    <t>DIA</t>
  </si>
  <si>
    <t xml:space="preserve">EGRESOS </t>
  </si>
  <si>
    <t xml:space="preserve">TOTAL </t>
  </si>
  <si>
    <t xml:space="preserve">DECLARADO </t>
  </si>
  <si>
    <t xml:space="preserve">DIFERENCIA </t>
  </si>
  <si>
    <t>DIAS</t>
  </si>
  <si>
    <t xml:space="preserve">   VENTAS DEL LUNES </t>
  </si>
  <si>
    <t>VENTAS DEL MARTES</t>
  </si>
  <si>
    <t>VENTAS DEL MIERCOLES</t>
  </si>
  <si>
    <t>VENTAS DEL JUEVES</t>
  </si>
  <si>
    <t>VENTAS DEL  VIERNES</t>
  </si>
  <si>
    <t>VENTAS DEL SABADO</t>
  </si>
  <si>
    <t>Total general</t>
  </si>
  <si>
    <t xml:space="preserve">Suma de DECLARADO </t>
  </si>
  <si>
    <t xml:space="preserve">Suma de DIFERENCIA </t>
  </si>
  <si>
    <t>TOTAL INGRESOS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</si>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</sst>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164" formatCode="_-[$$-80A]* #,##0.00_-;\-[$$-80A]* #,##0.00_-;_-[$$-80A]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35">
    <xf numFmtId="0" fontId="0" fillId="0" borderId="0" xfId="0"/>
    <xf numFmtId="164" fontId="4" fillId="0" borderId="0" xfId="0" applyNumberFormat="1" applyFont="1" applyAlignment="1" applyProtection="1">
      <alignment horizontal="right"/>
      <protection locked="0"/>
    </xf>
    <xf numFmtId="164" fontId="2" fillId="0" borderId="0" xfId="0" applyNumberFormat="1" applyFont="1" applyProtection="1">
      <protection locked="0"/>
    </xf>
    <xf numFmtId="164" fontId="0" fillId="0" borderId="0" xfId="0" applyNumberFormat="1" applyProtection="1">
      <protection locked="0"/>
    </xf>
    <xf numFmtId="164" fontId="2" fillId="0" borderId="0" xfId="0" applyNumberFormat="1" applyFont="1" applyAlignment="1" applyProtection="1">
      <alignment horizontal="right"/>
      <protection locked="0"/>
    </xf>
    <xf numFmtId="0" fontId="5" fillId="0" borderId="0" xfId="0" applyFont="1"/>
    <xf numFmtId="0" fontId="0" fillId="0" borderId="3" xfId="0" applyBorder="1"/>
    <xf numFmtId="0" fontId="0" fillId="0" borderId="4" xfId="0" applyBorder="1"/>
    <xf numFmtId="0" fontId="0" fillId="0" borderId="0" xfId="0" applyNumberFormat="1" applyProtection="1">
      <protection locked="0"/>
    </xf>
    <xf numFmtId="164" fontId="0" fillId="0" borderId="0" xfId="0" applyNumberFormat="1"/>
    <xf numFmtId="164" fontId="2" fillId="0" borderId="0" xfId="0" applyNumberFormat="1" applyFont="1" applyAlignment="1">
      <alignment horizontal="right"/>
    </xf>
    <xf numFmtId="0" fontId="5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right"/>
    </xf>
    <xf numFmtId="14" fontId="0" fillId="6" borderId="2" xfId="0" applyNumberFormat="1" applyFill="1" applyBorder="1" applyAlignment="1">
      <alignment horizontal="center"/>
    </xf>
    <xf numFmtId="8" fontId="0" fillId="6" borderId="2" xfId="0" applyNumberFormat="1" applyFill="1" applyBorder="1" applyAlignment="1">
      <alignment horizontal="center"/>
    </xf>
    <xf numFmtId="164" fontId="2" fillId="0" borderId="0" xfId="0" applyNumberFormat="1" applyFont="1"/>
    <xf numFmtId="0" fontId="0" fillId="0" borderId="0" xfId="0" applyNumberFormat="1"/>
    <xf numFmtId="0" fontId="0" fillId="0" borderId="6" xfId="0" applyBorder="1"/>
    <xf numFmtId="164" fontId="0" fillId="0" borderId="6" xfId="0" applyNumberFormat="1" applyBorder="1"/>
    <xf numFmtId="0" fontId="3" fillId="7" borderId="0" xfId="0" applyFont="1" applyFill="1"/>
    <xf numFmtId="164" fontId="3" fillId="7" borderId="0" xfId="0" applyNumberFormat="1" applyFont="1" applyFill="1"/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164" fontId="0" fillId="0" borderId="2" xfId="0" applyNumberFormat="1" applyBorder="1"/>
    <xf numFmtId="164" fontId="0" fillId="0" borderId="11" xfId="0" applyNumberFormat="1" applyBorder="1"/>
    <xf numFmtId="164" fontId="0" fillId="0" borderId="12" xfId="0" applyNumberFormat="1" applyBorder="1"/>
    <xf numFmtId="164" fontId="0" fillId="0" borderId="7" xfId="0" applyNumberFormat="1" applyBorder="1"/>
    <xf numFmtId="0" fontId="1" fillId="4" borderId="2" xfId="3" applyBorder="1"/>
    <xf numFmtId="164" fontId="1" fillId="3" borderId="2" xfId="2" applyNumberFormat="1" applyBorder="1"/>
    <xf numFmtId="0" fontId="0" fillId="0" borderId="2" xfId="0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6" fillId="2" borderId="5" xfId="1" applyFont="1" applyBorder="1" applyAlignment="1">
      <alignment horizontal="center" wrapText="1"/>
    </xf>
    <xf numFmtId="0" fontId="6" fillId="2" borderId="1" xfId="1" applyFont="1" applyAlignment="1">
      <alignment horizontal="center" wrapText="1"/>
    </xf>
  </cellXfs>
  <cellStyles count="4">
    <cellStyle name="20% - Énfasis5" xfId="2" builtinId="46"/>
    <cellStyle name="60% - Énfasis5" xfId="3" builtinId="48"/>
    <cellStyle name="Normal" xfId="0" builtinId="0"/>
    <cellStyle name="Notas" xfId="1" builtinId="10"/>
  </cellStyles>
  <dxfs count="66">
    <dxf>
      <numFmt numFmtId="164" formatCode="_-[$$-80A]* #,##0.00_-;\-[$$-80A]* #,##0.00_-;_-[$$-80A]* &quot;-&quot;??_-;_-@_-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-[$$-80A]* #,##0.00_-;\-[$$-80A]* #,##0.00_-;_-[$$-80A]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color theme="0"/>
      </font>
    </dxf>
    <dxf>
      <font>
        <color theme="0"/>
      </font>
    </dxf>
    <dxf>
      <fill>
        <patternFill>
          <bgColor theme="8" tint="-0.249977111117893"/>
        </patternFill>
      </fill>
    </dxf>
    <dxf>
      <fill>
        <patternFill>
          <bgColor theme="8" tint="-0.249977111117893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border>
        <top style="double">
          <color auto="1"/>
        </top>
        <bottom style="double">
          <color auto="1"/>
        </bottom>
      </border>
    </dxf>
    <dxf>
      <numFmt numFmtId="164" formatCode="_-[$$-80A]* #,##0.00_-;\-[$$-80A]* #,##0.00_-;_-[$$-80A]* &quot;-&quot;??_-;_-@_-"/>
    </dxf>
    <dxf>
      <numFmt numFmtId="164" formatCode="_-[$$-80A]* #,##0.00_-;\-[$$-80A]* #,##0.00_-;_-[$$-80A]* &quot;-&quot;??_-;_-@_-"/>
    </dxf>
    <dxf>
      <numFmt numFmtId="164" formatCode="_-[$$-80A]* #,##0.00_-;\-[$$-80A]* #,##0.00_-;_-[$$-80A]* &quot;-&quot;??_-;_-@_-"/>
    </dxf>
    <dxf>
      <numFmt numFmtId="164" formatCode="_-[$$-80A]* #,##0.00_-;\-[$$-80A]* #,##0.00_-;_-[$$-80A]* &quot;-&quot;??_-;_-@_-"/>
    </dxf>
    <dxf>
      <numFmt numFmtId="164" formatCode="_-[$$-80A]* #,##0.00_-;\-[$$-80A]* #,##0.00_-;_-[$$-80A]* &quot;-&quot;??_-;_-@_-"/>
    </dxf>
    <dxf>
      <numFmt numFmtId="164" formatCode="_-[$$-80A]* #,##0.00_-;\-[$$-80A]* #,##0.00_-;_-[$$-80A]* &quot;-&quot;??_-;_-@_-"/>
    </dxf>
    <dxf>
      <numFmt numFmtId="164" formatCode="_-[$$-80A]* #,##0.00_-;\-[$$-80A]* #,##0.00_-;_-[$$-80A]* &quot;-&quot;??_-;_-@_-"/>
    </dxf>
    <dxf>
      <numFmt numFmtId="164" formatCode="_-[$$-80A]* #,##0.00_-;\-[$$-80A]* #,##0.00_-;_-[$$-80A]* &quot;-&quot;??_-;_-@_-"/>
    </dxf>
    <dxf>
      <numFmt numFmtId="164" formatCode="_-[$$-80A]* #,##0.00_-;\-[$$-80A]* #,##0.00_-;_-[$$-80A]* &quot;-&quot;??_-;_-@_-"/>
    </dxf>
    <dxf>
      <numFmt numFmtId="164" formatCode="_-[$$-80A]* #,##0.00_-;\-[$$-80A]* #,##0.00_-;_-[$$-80A]* &quot;-&quot;??_-;_-@_-"/>
    </dxf>
    <dxf>
      <numFmt numFmtId="164" formatCode="_-[$$-80A]* #,##0.00_-;\-[$$-80A]* #,##0.00_-;_-[$$-80A]* &quot;-&quot;??_-;_-@_-"/>
    </dxf>
    <dxf>
      <numFmt numFmtId="164" formatCode="_-[$$-80A]* #,##0.00_-;\-[$$-80A]* #,##0.00_-;_-[$$-80A]* &quot;-&quot;??_-;_-@_-"/>
    </dxf>
    <dxf>
      <numFmt numFmtId="164" formatCode="_-[$$-80A]* #,##0.00_-;\-[$$-80A]* #,##0.00_-;_-[$$-80A]* &quot;-&quot;??_-;_-@_-"/>
    </dxf>
    <dxf>
      <numFmt numFmtId="164" formatCode="_-[$$-80A]* #,##0.00_-;\-[$$-80A]* #,##0.00_-;_-[$$-80A]* &quot;-&quot;??_-;_-@_-"/>
    </dxf>
    <dxf>
      <numFmt numFmtId="164" formatCode="_-[$$-80A]* #,##0.00_-;\-[$$-80A]* #,##0.00_-;_-[$$-80A]* &quot;-&quot;??_-;_-@_-"/>
    </dxf>
    <dxf>
      <numFmt numFmtId="164" formatCode="_-[$$-80A]* #,##0.00_-;\-[$$-80A]* #,##0.00_-;_-[$$-80A]* &quot;-&quot;??_-;_-@_-"/>
    </dxf>
    <dxf>
      <numFmt numFmtId="164" formatCode="_-[$$-80A]* #,##0.00_-;\-[$$-80A]* #,##0.00_-;_-[$$-80A]* &quot;-&quot;??_-;_-@_-"/>
    </dxf>
    <dxf>
      <numFmt numFmtId="164" formatCode="_-[$$-80A]* #,##0.00_-;\-[$$-80A]* #,##0.00_-;_-[$$-80A]* &quot;-&quot;??_-;_-@_-"/>
    </dxf>
    <dxf>
      <font>
        <b/>
      </font>
      <numFmt numFmtId="164" formatCode="_-[$$-80A]* #,##0.00_-;\-[$$-80A]* #,##0.00_-;_-[$$-80A]* &quot;-&quot;??_-;_-@_-"/>
      <alignment horizontal="right" vertical="bottom" textRotation="0" wrapText="0" indent="0" justifyLastLine="0" shrinkToFit="0" readingOrder="0"/>
    </dxf>
    <dxf>
      <numFmt numFmtId="164" formatCode="_-[$$-80A]* #,##0.00_-;\-[$$-80A]* #,##0.00_-;_-[$$-80A]* &quot;-&quot;??_-;_-@_-"/>
    </dxf>
    <dxf>
      <numFmt numFmtId="164" formatCode="_-[$$-80A]* #,##0.00_-;\-[$$-80A]* #,##0.00_-;_-[$$-80A]* &quot;-&quot;??_-;_-@_-"/>
    </dxf>
    <dxf>
      <numFmt numFmtId="164" formatCode="_-[$$-80A]* #,##0.00_-;\-[$$-80A]* #,##0.00_-;_-[$$-80A]* &quot;-&quot;??_-;_-@_-"/>
    </dxf>
    <dxf>
      <numFmt numFmtId="164" formatCode="_-[$$-80A]* #,##0.00_-;\-[$$-80A]* #,##0.00_-;_-[$$-80A]* &quot;-&quot;??_-;_-@_-"/>
    </dxf>
    <dxf>
      <font>
        <b/>
        <i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164" formatCode="_-[$$-80A]* #,##0.00_-;\-[$$-80A]* #,##0.00_-;_-[$$-80A]* &quot;-&quot;??_-;_-@_-"/>
      <alignment horizontal="right" vertical="bottom" textRotation="0" wrapText="0" indent="0" justifyLastLine="0" shrinkToFit="0" readingOrder="0"/>
      <protection locked="0" hidden="0"/>
    </dxf>
    <dxf>
      <font>
        <b/>
      </font>
      <numFmt numFmtId="164" formatCode="_-[$$-80A]* #,##0.00_-;\-[$$-80A]* #,##0.00_-;_-[$$-80A]* &quot;-&quot;??_-;_-@_-"/>
      <alignment horizontal="right" vertical="bottom" textRotation="0" wrapText="0" indent="0" justifyLastLine="0" shrinkToFit="0" readingOrder="0"/>
      <protection locked="0" hidden="0"/>
    </dxf>
    <dxf>
      <font>
        <b/>
      </font>
      <numFmt numFmtId="164" formatCode="_-[$$-80A]* #,##0.00_-;\-[$$-80A]* #,##0.00_-;_-[$$-80A]* &quot;-&quot;??_-;_-@_-"/>
      <protection locked="0" hidden="0"/>
    </dxf>
    <dxf>
      <numFmt numFmtId="164" formatCode="_-[$$-80A]* #,##0.00_-;\-[$$-80A]* #,##0.00_-;_-[$$-80A]* &quot;-&quot;??_-;_-@_-"/>
      <protection locked="0" hidden="0"/>
    </dxf>
    <dxf>
      <font>
        <b/>
      </font>
      <numFmt numFmtId="164" formatCode="_-[$$-80A]* #,##0.00_-;\-[$$-80A]* #,##0.00_-;_-[$$-80A]* &quot;-&quot;??_-;_-@_-"/>
      <protection locked="0" hidden="0"/>
    </dxf>
    <dxf>
      <numFmt numFmtId="164" formatCode="_-[$$-80A]* #,##0.00_-;\-[$$-80A]* #,##0.00_-;_-[$$-80A]* &quot;-&quot;??_-;_-@_-"/>
      <protection locked="0" hidden="0"/>
    </dxf>
    <dxf>
      <font>
        <b/>
      </font>
      <numFmt numFmtId="164" formatCode="_-[$$-80A]* #,##0.00_-;\-[$$-80A]* #,##0.00_-;_-[$$-80A]* &quot;-&quot;??_-;_-@_-"/>
      <protection locked="0" hidden="0"/>
    </dxf>
    <dxf>
      <numFmt numFmtId="164" formatCode="_-[$$-80A]* #,##0.00_-;\-[$$-80A]* #,##0.00_-;_-[$$-80A]* &quot;-&quot;??_-;_-@_-"/>
      <protection locked="0" hidden="0"/>
    </dxf>
    <dxf>
      <font>
        <b/>
      </font>
      <numFmt numFmtId="164" formatCode="_-[$$-80A]* #,##0.00_-;\-[$$-80A]* #,##0.00_-;_-[$$-80A]* &quot;-&quot;??_-;_-@_-"/>
      <protection locked="0" hidden="0"/>
    </dxf>
    <dxf>
      <numFmt numFmtId="164" formatCode="_-[$$-80A]* #,##0.00_-;\-[$$-80A]* #,##0.00_-;_-[$$-80A]* &quot;-&quot;??_-;_-@_-"/>
      <protection locked="0" hidden="0"/>
    </dxf>
    <dxf>
      <font>
        <b/>
      </font>
      <numFmt numFmtId="164" formatCode="_-[$$-80A]* #,##0.00_-;\-[$$-80A]* #,##0.00_-;_-[$$-80A]* &quot;-&quot;??_-;_-@_-"/>
      <protection locked="0" hidden="0"/>
    </dxf>
    <dxf>
      <numFmt numFmtId="164" formatCode="_-[$$-80A]* #,##0.00_-;\-[$$-80A]* #,##0.00_-;_-[$$-80A]* &quot;-&quot;??_-;_-@_-"/>
      <protection locked="0" hidden="0"/>
    </dxf>
    <dxf>
      <font>
        <b/>
      </font>
      <numFmt numFmtId="164" formatCode="_-[$$-80A]* #,##0.00_-;\-[$$-80A]* #,##0.00_-;_-[$$-80A]* &quot;-&quot;??_-;_-@_-"/>
      <protection locked="0" hidden="0"/>
    </dxf>
    <dxf>
      <numFmt numFmtId="164" formatCode="_-[$$-80A]* #,##0.00_-;\-[$$-80A]* #,##0.00_-;_-[$$-80A]* &quot;-&quot;??_-;_-@_-"/>
      <protection locked="0" hidden="0"/>
    </dxf>
    <dxf>
      <font>
        <b/>
      </font>
      <numFmt numFmtId="164" formatCode="_-[$$-80A]* #,##0.00_-;\-[$$-80A]* #,##0.00_-;_-[$$-80A]* &quot;-&quot;??_-;_-@_-"/>
      <protection locked="0" hidden="0"/>
    </dxf>
    <dxf>
      <numFmt numFmtId="164" formatCode="_-[$$-80A]* #,##0.00_-;\-[$$-80A]* #,##0.00_-;_-[$$-80A]* &quot;-&quot;??_-;_-@_-"/>
      <protection locked="0" hidden="0"/>
    </dxf>
    <dxf>
      <font>
        <b/>
      </font>
      <numFmt numFmtId="164" formatCode="_-[$$-80A]* #,##0.00_-;\-[$$-80A]* #,##0.00_-;_-[$$-80A]* &quot;-&quot;??_-;_-@_-"/>
      <protection locked="0" hidden="0"/>
    </dxf>
    <dxf>
      <numFmt numFmtId="164" formatCode="_-[$$-80A]* #,##0.00_-;\-[$$-80A]* #,##0.00_-;_-[$$-80A]* &quot;-&quot;??_-;_-@_-"/>
      <protection locked="0" hidden="0"/>
    </dxf>
    <dxf>
      <numFmt numFmtId="164" formatCode="_-[$$-80A]* #,##0.00_-;\-[$$-80A]* #,##0.00_-;_-[$$-80A]* &quot;-&quot;??_-;_-@_-"/>
      <protection locked="0" hidden="0"/>
    </dxf>
    <dxf>
      <numFmt numFmtId="164" formatCode="_-[$$-80A]* #,##0.00_-;\-[$$-80A]* #,##0.00_-;_-[$$-80A]* &quot;-&quot;??_-;_-@_-"/>
      <protection locked="0" hidden="0"/>
    </dxf>
    <dxf>
      <numFmt numFmtId="164" formatCode="_-[$$-80A]* #,##0.00_-;\-[$$-80A]* #,##0.00_-;_-[$$-80A]* &quot;-&quot;??_-;_-@_-"/>
      <protection locked="0" hidden="0"/>
    </dxf>
    <dxf>
      <numFmt numFmtId="164" formatCode="_-[$$-80A]* #,##0.00_-;\-[$$-80A]* #,##0.00_-;_-[$$-80A]* &quot;-&quot;??_-;_-@_-"/>
      <protection locked="0" hidden="0"/>
    </dxf>
    <dxf>
      <numFmt numFmtId="164" formatCode="_-[$$-80A]* #,##0.00_-;\-[$$-80A]* #,##0.00_-;_-[$$-80A]* &quot;-&quot;??_-;_-@_-"/>
      <protection locked="0" hidden="0"/>
    </dxf>
    <dxf>
      <numFmt numFmtId="0" formatCode="General"/>
      <protection locked="0" hidden="0"/>
    </dxf>
    <dxf>
      <numFmt numFmtId="164" formatCode="_-[$$-80A]* #,##0.00_-;\-[$$-80A]* #,##0.00_-;_-[$$-80A]* &quot;-&quot;??_-;_-@_-"/>
      <protection locked="0" hidden="0"/>
    </dxf>
    <dxf>
      <numFmt numFmtId="164" formatCode="_-[$$-80A]* #,##0.00_-;\-[$$-80A]* #,##0.00_-;_-[$$-80A]* &quot;-&quot;??_-;_-@_-"/>
      <protection locked="0" hidden="0"/>
    </dxf>
    <dxf>
      <protection locked="0" hidden="0"/>
    </dxf>
    <dxf>
      <font>
        <b/>
        <i/>
      </font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s-MX" sz="1800">
                <a:solidFill>
                  <a:schemeClr val="accent5">
                    <a:lumMod val="50000"/>
                  </a:schemeClr>
                </a:solidFill>
              </a:rPr>
              <a:t>Análisis Comparativo de Ingreosos</a:t>
            </a:r>
          </a:p>
          <a:p>
            <a:pPr>
              <a:defRPr/>
            </a:pPr>
            <a:r>
              <a:rPr lang="es-MX" sz="1800">
                <a:solidFill>
                  <a:schemeClr val="accent5">
                    <a:lumMod val="50000"/>
                  </a:schemeClr>
                </a:solidFill>
              </a:rPr>
              <a:t> Declarados.</a:t>
            </a:r>
            <a:endParaRPr lang="es-MX">
              <a:solidFill>
                <a:schemeClr val="accent5">
                  <a:lumMod val="50000"/>
                </a:schemeClr>
              </a:solidFill>
            </a:endParaRPr>
          </a:p>
          <a:p>
            <a:pPr>
              <a:defRPr/>
            </a:pPr>
            <a:r>
              <a:rPr lang="es-MX" sz="1000">
                <a:solidFill>
                  <a:schemeClr val="tx1"/>
                </a:solidFill>
              </a:rPr>
              <a:t>Enero 2026.</a:t>
            </a:r>
            <a:r>
              <a:rPr lang="es-MX" sz="1000" baseline="0">
                <a:solidFill>
                  <a:schemeClr val="tx1"/>
                </a:solidFill>
              </a:rPr>
              <a:t> </a:t>
            </a:r>
            <a:r>
              <a:rPr lang="es-MX" sz="1000">
                <a:solidFill>
                  <a:schemeClr val="tx1"/>
                </a:solidFill>
              </a:rPr>
              <a:t>Ventas Totales por Día</a:t>
            </a:r>
            <a:r>
              <a:rPr lang="es-MX"/>
              <a:t>.</a:t>
            </a:r>
          </a:p>
        </c:rich>
      </c:tx>
      <c:layout>
        <c:manualLayout>
          <c:xMode val="edge"/>
          <c:yMode val="edge"/>
          <c:x val="0.24038438438438439"/>
          <c:y val="3.9331378945758E-2"/>
        </c:manualLayout>
      </c:layout>
      <c:overlay val="0"/>
      <c:spPr>
        <a:solidFill>
          <a:schemeClr val="bg1"/>
        </a:solidFill>
        <a:ln>
          <a:solidFill>
            <a:schemeClr val="accent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GRAFICA!$B$1</c:f>
              <c:strCache>
                <c:ptCount val="1"/>
                <c:pt idx="0">
                  <c:v>VENTA DECLARADA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ADB-4159-ADAC-5F43B5848E86}"/>
              </c:ext>
            </c:extLst>
          </c:dPt>
          <c:cat>
            <c:strRef>
              <c:f>GRAFICA!$A$2:$A$7</c:f>
              <c:strCache>
                <c:ptCount val="6"/>
                <c:pt idx="0">
                  <c:v>LUNES</c:v>
                </c:pt>
                <c:pt idx="1">
                  <c:v>MARTES</c:v>
                </c:pt>
                <c:pt idx="2">
                  <c:v>MIERCOLES</c:v>
                </c:pt>
                <c:pt idx="3">
                  <c:v>JUEVES</c:v>
                </c:pt>
                <c:pt idx="4">
                  <c:v>VIERNES</c:v>
                </c:pt>
                <c:pt idx="5">
                  <c:v>SABADO</c:v>
                </c:pt>
              </c:strCache>
            </c:strRef>
          </c:cat>
          <c:val>
            <c:numRef>
              <c:f>GRAFICA!$B$2:$B$7</c:f>
              <c:numCache>
                <c:formatCode>_-[$$-80A]* #,##0.00_-;\-[$$-80A]* #,##0.00_-;_-[$$-80A]* "-"??_-;_-@_-</c:formatCode>
                <c:ptCount val="6"/>
                <c:pt idx="0">
                  <c:v>89883</c:v>
                </c:pt>
                <c:pt idx="1">
                  <c:v>273986</c:v>
                </c:pt>
                <c:pt idx="2">
                  <c:v>271288</c:v>
                </c:pt>
                <c:pt idx="3">
                  <c:v>207662</c:v>
                </c:pt>
                <c:pt idx="4">
                  <c:v>211627</c:v>
                </c:pt>
                <c:pt idx="5">
                  <c:v>80594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DB-4159-ADAC-5F43B5848E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7"/>
        <c:overlap val="-27"/>
        <c:axId val="2095722368"/>
        <c:axId val="2095719456"/>
      </c:barChart>
      <c:lineChart>
        <c:grouping val="standard"/>
        <c:varyColors val="0"/>
        <c:ser>
          <c:idx val="1"/>
          <c:order val="1"/>
          <c:tx>
            <c:strRef>
              <c:f>GRAFICA!$C$1</c:f>
              <c:strCache>
                <c:ptCount val="1"/>
                <c:pt idx="0">
                  <c:v>(PROMEDIO)</c:v>
                </c:pt>
              </c:strCache>
            </c:strRef>
          </c:tx>
          <c:spPr>
            <a:ln w="22225" cap="rnd">
              <a:solidFill>
                <a:srgbClr val="FF5050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GRAFICA!$A$2:$A$7</c:f>
              <c:strCache>
                <c:ptCount val="6"/>
                <c:pt idx="0">
                  <c:v>LUNES</c:v>
                </c:pt>
                <c:pt idx="1">
                  <c:v>MARTES</c:v>
                </c:pt>
                <c:pt idx="2">
                  <c:v>MIERCOLES</c:v>
                </c:pt>
                <c:pt idx="3">
                  <c:v>JUEVES</c:v>
                </c:pt>
                <c:pt idx="4">
                  <c:v>VIERNES</c:v>
                </c:pt>
                <c:pt idx="5">
                  <c:v>SABADO</c:v>
                </c:pt>
              </c:strCache>
            </c:strRef>
          </c:cat>
          <c:val>
            <c:numRef>
              <c:f>GRAFICA!$C$2:$C$7</c:f>
              <c:numCache>
                <c:formatCode>_-[$$-80A]* #,##0.00_-;\-[$$-80A]* #,##0.00_-;_-[$$-80A]* "-"??_-;_-@_-</c:formatCode>
                <c:ptCount val="6"/>
                <c:pt idx="0">
                  <c:v>189173.33333333334</c:v>
                </c:pt>
                <c:pt idx="1">
                  <c:v>189173.33333333334</c:v>
                </c:pt>
                <c:pt idx="2">
                  <c:v>189173.33333333334</c:v>
                </c:pt>
                <c:pt idx="3">
                  <c:v>189173.33333333334</c:v>
                </c:pt>
                <c:pt idx="4">
                  <c:v>189173.33333333334</c:v>
                </c:pt>
                <c:pt idx="5">
                  <c:v>189173.33333333334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DB-4159-ADAC-5F43B5848E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5722368"/>
        <c:axId val="2095719456"/>
      </c:lineChart>
      <c:catAx>
        <c:axId val="2095722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095719456"/>
        <c:crosses val="autoZero"/>
        <c:auto val="1"/>
        <c:lblAlgn val="ctr"/>
        <c:lblOffset val="100"/>
        <c:noMultiLvlLbl val="0"/>
      </c:catAx>
      <c:valAx>
        <c:axId val="2095719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80A]* #,##0.00_-;\-[$$-80A]* #,##0.00_-;_-[$$-80A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095722368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752474</xdr:colOff>
      <xdr:row>0</xdr:row>
      <xdr:rowOff>0</xdr:rowOff>
    </xdr:from>
    <xdr:to>
      <xdr:col>10</xdr:col>
      <xdr:colOff>704849</xdr:colOff>
      <xdr:row>16</xdr:row>
      <xdr:rowOff>180974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A3018CE-14FF-4C4F-99DF-33C3E481B6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087.866417129633" createdVersion="7" refreshedVersion="7" minRefreshableVersion="3" recordCount="24" xr:uid="{51286230-2E31-4C36-88AE-50D709806093}">
  <cacheSource type="worksheet">
    <worksheetSource name="Tabla2"/>
  </cacheSource>
  <cacheFields count="8">
    <cacheField name="FECHA " numFmtId="0">
      <sharedItems count="24">
        <s v="02/02/2026"/>
        <s v="03/02/2026"/>
        <s v="04/02/2026"/>
        <s v="05/02/2026"/>
        <s v="06/02/2026"/>
        <s v="07/02/2026"/>
        <s v="09/02/2026"/>
        <s v="10/02/2026"/>
        <s v="11/02/2026"/>
        <s v="12/02/2026"/>
        <s v="13/02/2026"/>
        <s v="14/02/2026"/>
        <s v="16/02/2026"/>
        <s v="17/02/2026"/>
        <s v="18/02/2026"/>
        <s v="19/02/2026"/>
        <s v="20/02/2026"/>
        <s v="21/02/2026"/>
        <s v="23/02/2026"/>
        <s v="24/02/2026"/>
        <s v="25/02/2026"/>
        <s v="26/02/2026"/>
        <s v="27/02/2026"/>
        <s v="28/02/2026"/>
      </sharedItems>
    </cacheField>
    <cacheField name="DIA" numFmtId="0">
      <sharedItems count="6">
        <s v="LUNES"/>
        <s v="MARTES"/>
        <s v="MIERCOLES"/>
        <s v="JUEVES"/>
        <s v="VIERNES"/>
        <s v="SABADO"/>
      </sharedItems>
    </cacheField>
    <cacheField name="N#" numFmtId="0">
      <sharedItems containsSemiMixedTypes="0" containsString="0" containsNumber="1" containsInteger="1" minValue="1905" maxValue="1928"/>
    </cacheField>
    <cacheField name="INGRESOS" numFmtId="164">
      <sharedItems containsSemiMixedTypes="0" containsString="0" containsNumber="1" minValue="6494" maxValue="204462.75"/>
    </cacheField>
    <cacheField name="EGRESOS " numFmtId="164">
      <sharedItems containsSemiMixedTypes="0" containsString="0" containsNumber="1" containsInteger="1" minValue="200" maxValue="10800"/>
    </cacheField>
    <cacheField name="TOTAL " numFmtId="164">
      <sharedItems containsSemiMixedTypes="0" containsString="0" containsNumber="1" minValue="3771" maxValue="204162.75"/>
    </cacheField>
    <cacheField name="DECLARADO " numFmtId="164">
      <sharedItems containsSemiMixedTypes="0" containsString="0" containsNumber="1" containsInteger="1" minValue="3658" maxValue="204162"/>
    </cacheField>
    <cacheField name="DIFERENCIA " numFmtId="164">
      <sharedItems containsMixedTypes="1" containsNumber="1" minValue="-1564" maxValue="5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x v="0"/>
    <n v="1905"/>
    <n v="8734.4599999999991"/>
    <n v="3615"/>
    <n v="5119.46"/>
    <n v="5119"/>
    <n v="-0.46"/>
  </r>
  <r>
    <x v="1"/>
    <x v="1"/>
    <n v="1906"/>
    <n v="7661"/>
    <n v="3890"/>
    <n v="3771"/>
    <n v="3771"/>
    <s v="$0.00"/>
  </r>
  <r>
    <x v="2"/>
    <x v="2"/>
    <n v="1907"/>
    <n v="159052"/>
    <n v="400"/>
    <n v="158652"/>
    <n v="158652"/>
    <s v="$0.00"/>
  </r>
  <r>
    <x v="3"/>
    <x v="3"/>
    <n v="1908"/>
    <n v="19781.900000000001"/>
    <n v="270"/>
    <n v="19511.900000000001"/>
    <n v="19511"/>
    <n v="-0.9"/>
  </r>
  <r>
    <x v="4"/>
    <x v="4"/>
    <n v="1909"/>
    <n v="65279"/>
    <n v="780"/>
    <n v="64499"/>
    <n v="64499"/>
    <s v="$0.00"/>
  </r>
  <r>
    <x v="5"/>
    <x v="5"/>
    <n v="1910"/>
    <n v="12909"/>
    <n v="8800"/>
    <n v="4109"/>
    <n v="4109"/>
    <s v="$0.00"/>
  </r>
  <r>
    <x v="6"/>
    <x v="0"/>
    <n v="1911"/>
    <n v="23584"/>
    <n v="1200"/>
    <n v="22384"/>
    <n v="22900"/>
    <n v="516"/>
  </r>
  <r>
    <x v="7"/>
    <x v="1"/>
    <n v="1912"/>
    <n v="22059"/>
    <n v="500"/>
    <n v="21559"/>
    <n v="21559"/>
    <s v="$0.00"/>
  </r>
  <r>
    <x v="8"/>
    <x v="2"/>
    <n v="1913"/>
    <n v="20818.080000000002"/>
    <n v="200"/>
    <n v="20618.080000000002"/>
    <n v="20618"/>
    <n v="-0.08"/>
  </r>
  <r>
    <x v="9"/>
    <x v="3"/>
    <n v="1914"/>
    <n v="144793"/>
    <n v="800"/>
    <n v="143993"/>
    <n v="143993"/>
    <s v="$0.00"/>
  </r>
  <r>
    <x v="10"/>
    <x v="4"/>
    <n v="1915"/>
    <n v="32520"/>
    <n v="2300"/>
    <n v="30220"/>
    <n v="30220"/>
    <s v="$0.00"/>
  </r>
  <r>
    <x v="11"/>
    <x v="5"/>
    <n v="1916"/>
    <n v="26688"/>
    <n v="10600"/>
    <n v="16088"/>
    <n v="16100"/>
    <n v="12"/>
  </r>
  <r>
    <x v="12"/>
    <x v="0"/>
    <n v="1917"/>
    <n v="56120.28"/>
    <n v="450"/>
    <n v="55670.28"/>
    <n v="55670"/>
    <n v="-0.28000000000000003"/>
  </r>
  <r>
    <x v="13"/>
    <x v="1"/>
    <n v="1918"/>
    <n v="46794"/>
    <n v="2300"/>
    <n v="44494"/>
    <n v="44494"/>
    <s v="$0.00"/>
  </r>
  <r>
    <x v="14"/>
    <x v="2"/>
    <n v="1919"/>
    <n v="89960"/>
    <n v="1300"/>
    <n v="88660"/>
    <n v="88360"/>
    <n v="-300"/>
  </r>
  <r>
    <x v="15"/>
    <x v="3"/>
    <n v="1920"/>
    <n v="7541"/>
    <n v="2570"/>
    <n v="4971"/>
    <n v="4970"/>
    <n v="-1"/>
  </r>
  <r>
    <x v="16"/>
    <x v="4"/>
    <n v="1921"/>
    <n v="106870"/>
    <n v="1000"/>
    <n v="105870"/>
    <n v="105870"/>
    <s v="$0.00"/>
  </r>
  <r>
    <x v="17"/>
    <x v="5"/>
    <n v="1922"/>
    <n v="49862"/>
    <n v="8800"/>
    <n v="41062"/>
    <n v="41061"/>
    <n v="-1"/>
  </r>
  <r>
    <x v="18"/>
    <x v="0"/>
    <n v="1923"/>
    <n v="6494"/>
    <n v="300"/>
    <n v="6194"/>
    <n v="6194"/>
    <s v="$0.00"/>
  </r>
  <r>
    <x v="19"/>
    <x v="1"/>
    <n v="1924"/>
    <n v="204462.75"/>
    <n v="300"/>
    <n v="204162.75"/>
    <n v="204162"/>
    <n v="-0.75"/>
  </r>
  <r>
    <x v="20"/>
    <x v="2"/>
    <n v="1925"/>
    <n v="7459.14"/>
    <n v="2800"/>
    <n v="4659.1400000000003"/>
    <n v="3658"/>
    <n v="-1001.14"/>
  </r>
  <r>
    <x v="21"/>
    <x v="3"/>
    <n v="1926"/>
    <n v="39888"/>
    <n v="700"/>
    <n v="39188"/>
    <n v="39188"/>
    <s v="$0.00"/>
  </r>
  <r>
    <x v="22"/>
    <x v="4"/>
    <n v="1927"/>
    <n v="11793"/>
    <n v="300"/>
    <n v="11493"/>
    <n v="11038"/>
    <n v="-455"/>
  </r>
  <r>
    <x v="23"/>
    <x v="5"/>
    <n v="1928"/>
    <n v="31688"/>
    <n v="10800"/>
    <n v="20888"/>
    <n v="19324"/>
    <n v="-156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2BEFE8-CB49-4EC4-B6C4-584ACFBB60A6}" name="TablaDinámica10" cacheId="0" applyNumberFormats="0" applyBorderFormats="0" applyFontFormats="0" applyPatternFormats="0" applyAlignmentFormats="0" applyWidthHeightFormats="1" dataCaption="Valores" updatedVersion="7" minRefreshableVersion="3" showDrill="0" useAutoFormatting="1" itemPrintTitles="1" createdVersion="7" indent="0" showHeaders="0" compact="0" outline="1" outlineData="1" compactData="0" multipleFieldFilters="0">
  <location ref="A3:E40" firstHeaderRow="0" firstDataRow="1" firstDataCol="2"/>
  <pivotFields count="8">
    <pivotField axis="axisRow" compact="0" subtotalTop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Row" subtotalCaption=" " compact="0" subtotalTop="0" showAll="0">
      <items count="7">
        <item x="0"/>
        <item x="1"/>
        <item x="2"/>
        <item x="3"/>
        <item x="4"/>
        <item x="5"/>
        <item t="default"/>
      </items>
    </pivotField>
    <pivotField compact="0" subtotalTop="0" showAll="0"/>
    <pivotField dataField="1" compact="0" numFmtId="164" subtotalTop="0" showAll="0"/>
    <pivotField compact="0" numFmtId="164" subtotalTop="0" showAll="0"/>
    <pivotField compact="0" numFmtId="164" subtotalTop="0" showAll="0"/>
    <pivotField dataField="1" compact="0" numFmtId="164" subtotalTop="0" showAll="0"/>
    <pivotField dataField="1" compact="0" subtotalTop="0" showAll="0"/>
  </pivotFields>
  <rowFields count="2">
    <field x="1"/>
    <field x="0"/>
  </rowFields>
  <rowItems count="37">
    <i>
      <x/>
    </i>
    <i r="1">
      <x/>
    </i>
    <i r="1">
      <x v="6"/>
    </i>
    <i r="1">
      <x v="12"/>
    </i>
    <i r="1">
      <x v="18"/>
    </i>
    <i t="default">
      <x/>
    </i>
    <i>
      <x v="1"/>
    </i>
    <i r="1">
      <x v="1"/>
    </i>
    <i r="1">
      <x v="7"/>
    </i>
    <i r="1">
      <x v="13"/>
    </i>
    <i r="1">
      <x v="19"/>
    </i>
    <i t="default">
      <x v="1"/>
    </i>
    <i>
      <x v="2"/>
    </i>
    <i r="1">
      <x v="2"/>
    </i>
    <i r="1">
      <x v="8"/>
    </i>
    <i r="1">
      <x v="14"/>
    </i>
    <i r="1">
      <x v="20"/>
    </i>
    <i t="default">
      <x v="2"/>
    </i>
    <i>
      <x v="3"/>
    </i>
    <i r="1">
      <x v="3"/>
    </i>
    <i r="1">
      <x v="9"/>
    </i>
    <i r="1">
      <x v="15"/>
    </i>
    <i r="1">
      <x v="21"/>
    </i>
    <i t="default">
      <x v="3"/>
    </i>
    <i>
      <x v="4"/>
    </i>
    <i r="1">
      <x v="4"/>
    </i>
    <i r="1">
      <x v="10"/>
    </i>
    <i r="1">
      <x v="16"/>
    </i>
    <i r="1">
      <x v="22"/>
    </i>
    <i t="default">
      <x v="4"/>
    </i>
    <i>
      <x v="5"/>
    </i>
    <i r="1">
      <x v="5"/>
    </i>
    <i r="1">
      <x v="11"/>
    </i>
    <i r="1">
      <x v="17"/>
    </i>
    <i r="1">
      <x v="23"/>
    </i>
    <i t="default"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INGRESOS" fld="3" baseField="1" baseItem="0"/>
    <dataField name="Suma de DECLARADO " fld="6" baseField="0" baseItem="0"/>
    <dataField name="Suma de DIFERENCIA " fld="7" baseField="1" baseItem="0"/>
  </dataFields>
  <formats count="25">
    <format dxfId="31">
      <pivotArea fieldPosition="0">
        <references count="2">
          <reference field="0" count="4">
            <x v="0"/>
            <x v="6"/>
            <x v="12"/>
            <x v="18"/>
          </reference>
          <reference field="1" count="1" selected="0">
            <x v="0"/>
          </reference>
        </references>
      </pivotArea>
    </format>
    <format dxfId="30">
      <pivotArea fieldPosition="0">
        <references count="1">
          <reference field="1" count="1" defaultSubtotal="1">
            <x v="0"/>
          </reference>
        </references>
      </pivotArea>
    </format>
    <format dxfId="29">
      <pivotArea fieldPosition="0">
        <references count="1">
          <reference field="1" count="1">
            <x v="1"/>
          </reference>
        </references>
      </pivotArea>
    </format>
    <format dxfId="28">
      <pivotArea fieldPosition="0">
        <references count="2">
          <reference field="0" count="4">
            <x v="1"/>
            <x v="7"/>
            <x v="13"/>
            <x v="19"/>
          </reference>
          <reference field="1" count="1" selected="0">
            <x v="1"/>
          </reference>
        </references>
      </pivotArea>
    </format>
    <format dxfId="27">
      <pivotArea fieldPosition="0">
        <references count="1">
          <reference field="1" count="1" defaultSubtotal="1">
            <x v="1"/>
          </reference>
        </references>
      </pivotArea>
    </format>
    <format dxfId="26">
      <pivotArea fieldPosition="0">
        <references count="1">
          <reference field="1" count="1">
            <x v="2"/>
          </reference>
        </references>
      </pivotArea>
    </format>
    <format dxfId="25">
      <pivotArea fieldPosition="0">
        <references count="2">
          <reference field="0" count="4">
            <x v="2"/>
            <x v="8"/>
            <x v="14"/>
            <x v="20"/>
          </reference>
          <reference field="1" count="1" selected="0">
            <x v="2"/>
          </reference>
        </references>
      </pivotArea>
    </format>
    <format dxfId="24">
      <pivotArea fieldPosition="0">
        <references count="1">
          <reference field="1" count="1" defaultSubtotal="1">
            <x v="2"/>
          </reference>
        </references>
      </pivotArea>
    </format>
    <format dxfId="23">
      <pivotArea fieldPosition="0">
        <references count="1">
          <reference field="1" count="1">
            <x v="3"/>
          </reference>
        </references>
      </pivotArea>
    </format>
    <format dxfId="22">
      <pivotArea fieldPosition="0">
        <references count="2">
          <reference field="0" count="4">
            <x v="3"/>
            <x v="9"/>
            <x v="15"/>
            <x v="21"/>
          </reference>
          <reference field="1" count="1" selected="0">
            <x v="3"/>
          </reference>
        </references>
      </pivotArea>
    </format>
    <format dxfId="21">
      <pivotArea fieldPosition="0">
        <references count="1">
          <reference field="1" count="1" defaultSubtotal="1">
            <x v="3"/>
          </reference>
        </references>
      </pivotArea>
    </format>
    <format dxfId="20">
      <pivotArea fieldPosition="0">
        <references count="1">
          <reference field="1" count="1">
            <x v="4"/>
          </reference>
        </references>
      </pivotArea>
    </format>
    <format dxfId="19">
      <pivotArea fieldPosition="0">
        <references count="2">
          <reference field="0" count="4">
            <x v="4"/>
            <x v="10"/>
            <x v="16"/>
            <x v="22"/>
          </reference>
          <reference field="1" count="1" selected="0">
            <x v="4"/>
          </reference>
        </references>
      </pivotArea>
    </format>
    <format dxfId="18">
      <pivotArea fieldPosition="0">
        <references count="1">
          <reference field="1" count="1" defaultSubtotal="1">
            <x v="4"/>
          </reference>
        </references>
      </pivotArea>
    </format>
    <format dxfId="17">
      <pivotArea fieldPosition="0">
        <references count="1">
          <reference field="1" count="1">
            <x v="5"/>
          </reference>
        </references>
      </pivotArea>
    </format>
    <format dxfId="16">
      <pivotArea fieldPosition="0">
        <references count="2">
          <reference field="0" count="4">
            <x v="5"/>
            <x v="11"/>
            <x v="17"/>
            <x v="23"/>
          </reference>
          <reference field="1" count="1" selected="0">
            <x v="5"/>
          </reference>
        </references>
      </pivotArea>
    </format>
    <format dxfId="15">
      <pivotArea fieldPosition="0">
        <references count="1">
          <reference field="1" count="1" defaultSubtotal="1">
            <x v="5"/>
          </reference>
        </references>
      </pivotArea>
    </format>
    <format dxfId="14">
      <pivotArea grandRow="1" outline="0" collapsedLevelsAreSubtotals="1" fieldPosition="0"/>
    </format>
    <format dxfId="13">
      <pivotArea dataOnly="0" fieldPosition="0">
        <references count="1">
          <reference field="1" count="0" defaultSubtotal="1"/>
        </references>
      </pivotArea>
    </format>
    <format dxfId="12">
      <pivotArea grandRow="1" outline="0" collapsedLevelsAreSubtotals="1" fieldPosition="0"/>
    </format>
    <format dxfId="11">
      <pivotArea dataOnly="0" labelOnly="1" grandRow="1" outline="0" fieldPosition="0"/>
    </format>
    <format dxfId="10">
      <pivotArea grandRow="1" outline="0" collapsedLevelsAreSubtotals="1" fieldPosition="0"/>
    </format>
    <format dxfId="9">
      <pivotArea dataOnly="0" labelOnly="1" grandRow="1" outline="0" fieldPosition="0"/>
    </format>
    <format dxfId="8">
      <pivotArea grandRow="1" outline="0" collapsedLevelsAreSubtotals="1" fieldPosition="0"/>
    </format>
    <format dxfId="7">
      <pivotArea dataOnly="0" labelOnly="1" grandRow="1" outline="0" fieldPosition="0"/>
    </format>
  </formats>
  <pivotTableStyleInfo name="PivotStyleMedium13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179E41-9425-4558-A404-B35AEE435318}" name="Tabla1" displayName="Tabla1" ref="A1:M26" totalsRowCount="1" headerRowDxfId="65" dataDxfId="64">
  <autoFilter ref="A1:M25" xr:uid="{E6C0B2A7-96F1-4D16-B2F7-93AFA64E2CA5}"/>
  <tableColumns count="13">
    <tableColumn id="1" xr3:uid="{AFDEA7FC-0199-43AC-BB40-50067AD30747}" name="FECHA" dataDxfId="63" totalsRowDxfId="62"/>
    <tableColumn id="2" xr3:uid="{76787354-CA0A-4663-A148-3DA19E245C58}" name="N#" dataDxfId="61" totalsRowDxfId="60"/>
    <tableColumn id="3" xr3:uid="{C6CB5154-8918-4679-9256-14108B676AF9}" name="HORA" dataDxfId="59" totalsRowDxfId="58"/>
    <tableColumn id="4" xr3:uid="{C3C8A7A2-B3CB-4A18-9B0F-7151083C664D}" name="CAJERO" dataDxfId="57" totalsRowDxfId="56"/>
    <tableColumn id="5" xr3:uid="{3D6E3D5F-9594-438D-99E4-489D7D3CC83C}" name="VENTAS" totalsRowFunction="sum" dataDxfId="55" totalsRowDxfId="54"/>
    <tableColumn id="6" xr3:uid="{676E993E-9A29-4324-8A2C-5EEFB0363FD1}" name="COBRANZA" totalsRowFunction="sum" dataDxfId="53" totalsRowDxfId="52"/>
    <tableColumn id="7" xr3:uid="{BF629399-8B53-465D-B98F-D1C138AE9189}" name="INGRESOS" totalsRowFunction="sum" dataDxfId="51" totalsRowDxfId="50"/>
    <tableColumn id="8" xr3:uid="{5C52F0F3-7EB0-47BD-8336-51500C8CBD3B}" name="EGRESOS" totalsRowFunction="sum" dataDxfId="49" totalsRowDxfId="48"/>
    <tableColumn id="9" xr3:uid="{491BD5EB-54B9-409F-BFFA-C8A284A248AA}" name="TOTAL" totalsRowFunction="sum" dataDxfId="47" totalsRowDxfId="46"/>
    <tableColumn id="10" xr3:uid="{C69BABA5-CC0A-4FD5-8A94-C74F9E8E6728}" name="CREDITO" totalsRowFunction="sum" dataDxfId="45" totalsRowDxfId="44"/>
    <tableColumn id="11" xr3:uid="{9F081D04-FB69-49C6-A269-0A7C500F61B6}" name="DECLARADO" totalsRowFunction="sum" dataDxfId="43" totalsRowDxfId="42"/>
    <tableColumn id="12" xr3:uid="{16A05922-5AED-4868-8AD3-E8D7930E96D7}" name="VENTA/CRED" totalsRowFunction="sum" dataDxfId="41" totalsRowDxfId="40"/>
    <tableColumn id="13" xr3:uid="{0B348610-4979-4A02-B8BA-3345F4E4A0CB}" name="DIFERENCIA" totalsRowFunction="sum" dataDxfId="39" totalsRowDxfId="38"/>
  </tableColumns>
  <tableStyleInfo name="TableStyleMedium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4E7E286-FA13-45B8-81C0-FBEB97872524}" name="Tabla2" displayName="Tabla2" ref="A1:H25" totalsRowShown="0" headerRowDxfId="37">
  <autoFilter ref="A1:H25" xr:uid="{C4E7E286-FA13-45B8-81C0-FBEB97872524}"/>
  <tableColumns count="8">
    <tableColumn id="1" xr3:uid="{11D53843-93DB-4716-9A4B-FE5072526449}" name="FECHA "/>
    <tableColumn id="2" xr3:uid="{25CFE95A-4339-486B-810B-00820579EF08}" name="DIA"/>
    <tableColumn id="3" xr3:uid="{C027AD3C-252D-4914-8BF9-DB3262010108}" name="N#"/>
    <tableColumn id="4" xr3:uid="{8C279BB3-E3E8-4D66-A7A8-A04131271AA9}" name="INGRESOS" dataDxfId="36"/>
    <tableColumn id="5" xr3:uid="{50437D76-94BD-4BC6-8968-F6BD93563437}" name="EGRESOS " dataDxfId="35"/>
    <tableColumn id="6" xr3:uid="{AF4159A2-D965-498B-97FD-8B27D9FC01FF}" name="TOTAL " dataDxfId="34"/>
    <tableColumn id="7" xr3:uid="{388D2143-96D1-47EF-93A0-7A29A5E18907}" name="DECLARADO " dataDxfId="33"/>
    <tableColumn id="8" xr3:uid="{DA356C55-43A5-4934-B8D9-9911C994CCB0}" name="DIFERENCIA " dataDxfId="32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537D5E1-7ECA-4EF7-A16C-6A7C4F92C8D8}" name="Tabla3" displayName="Tabla3" ref="A1:C7" totalsRowShown="0" headerRowDxfId="6" headerRowBorderDxfId="5" tableBorderDxfId="4" totalsRowBorderDxfId="3">
  <autoFilter ref="A1:C7" xr:uid="{3537D5E1-7ECA-4EF7-A16C-6A7C4F92C8D8}"/>
  <tableColumns count="3">
    <tableColumn id="1" xr3:uid="{15C40FC6-314E-4F3B-83F0-13B19D2FAB72}" name="DIA DE LA SEMANA " dataDxfId="2"/>
    <tableColumn id="2" xr3:uid="{18955895-AADB-453D-8E7D-63A1010F41F3}" name="VENTA DECLARADA" dataDxfId="1"/>
    <tableColumn id="3" xr3:uid="{D7ED3457-72AD-41B2-A377-5405197203FC}" name="(PROMEDIO)" dataDxfId="0">
      <calculatedColumnFormula>$C$2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FC5A8-0A56-4257-B743-A0BDDEA3B2D3}">
  <dimension ref="A1:M26"/>
  <sheetViews>
    <sheetView topLeftCell="F4" workbookViewId="0">
      <selection activeCell="I30" sqref="I30"/>
    </sheetView>
  </sheetViews>
  <sheetFormatPr baseColWidth="10" defaultRowHeight="15" x14ac:dyDescent="0.25"/>
  <cols>
    <col min="5" max="5" width="12.85546875" customWidth="1"/>
    <col min="6" max="6" width="13.5703125" customWidth="1"/>
    <col min="7" max="7" width="14.7109375" customWidth="1"/>
    <col min="9" max="9" width="14.140625" customWidth="1"/>
    <col min="10" max="10" width="12.28515625" customWidth="1"/>
    <col min="11" max="11" width="14.7109375" customWidth="1"/>
    <col min="12" max="12" width="12.42578125" customWidth="1"/>
  </cols>
  <sheetData>
    <row r="1" spans="1:13" x14ac:dyDescent="0.25">
      <c r="A1" s="5" t="s">
        <v>62</v>
      </c>
      <c r="B1" s="5" t="s">
        <v>61</v>
      </c>
      <c r="C1" s="5" t="s">
        <v>60</v>
      </c>
      <c r="D1" s="5" t="s">
        <v>59</v>
      </c>
      <c r="E1" s="5" t="s">
        <v>58</v>
      </c>
      <c r="F1" s="5" t="s">
        <v>57</v>
      </c>
      <c r="G1" s="5" t="s">
        <v>56</v>
      </c>
      <c r="H1" s="5" t="s">
        <v>55</v>
      </c>
      <c r="I1" s="5" t="s">
        <v>54</v>
      </c>
      <c r="J1" s="5" t="s">
        <v>53</v>
      </c>
      <c r="K1" s="5" t="s">
        <v>52</v>
      </c>
      <c r="L1" s="5" t="s">
        <v>51</v>
      </c>
      <c r="M1" s="5" t="s">
        <v>50</v>
      </c>
    </row>
    <row r="2" spans="1:13" x14ac:dyDescent="0.25">
      <c r="A2" s="3" t="s">
        <v>49</v>
      </c>
      <c r="B2" s="8">
        <v>1905</v>
      </c>
      <c r="C2" s="3" t="s">
        <v>48</v>
      </c>
      <c r="D2" s="3" t="s">
        <v>0</v>
      </c>
      <c r="E2" s="3">
        <v>8734.4599999999991</v>
      </c>
      <c r="F2" s="3" t="s">
        <v>3</v>
      </c>
      <c r="G2" s="3">
        <v>8734.4599999999991</v>
      </c>
      <c r="H2" s="3">
        <v>3615</v>
      </c>
      <c r="I2" s="3">
        <v>5119.46</v>
      </c>
      <c r="J2" s="3">
        <v>8734.4599999999991</v>
      </c>
      <c r="K2" s="3">
        <v>5119</v>
      </c>
      <c r="L2" s="3">
        <v>23490</v>
      </c>
      <c r="M2" s="1">
        <v>-0.46</v>
      </c>
    </row>
    <row r="3" spans="1:13" x14ac:dyDescent="0.25">
      <c r="A3" s="3" t="s">
        <v>47</v>
      </c>
      <c r="B3" s="8">
        <v>1906</v>
      </c>
      <c r="C3" s="3" t="s">
        <v>46</v>
      </c>
      <c r="D3" s="3" t="s">
        <v>0</v>
      </c>
      <c r="E3" s="3">
        <v>7661</v>
      </c>
      <c r="F3" s="3" t="s">
        <v>3</v>
      </c>
      <c r="G3" s="3">
        <v>7661</v>
      </c>
      <c r="H3" s="3">
        <v>3890</v>
      </c>
      <c r="I3" s="3">
        <v>3771</v>
      </c>
      <c r="J3" s="3">
        <v>7661</v>
      </c>
      <c r="K3" s="3">
        <v>3771</v>
      </c>
      <c r="L3" s="3" t="s">
        <v>3</v>
      </c>
      <c r="M3" s="4" t="s">
        <v>3</v>
      </c>
    </row>
    <row r="4" spans="1:13" x14ac:dyDescent="0.25">
      <c r="A4" s="3" t="s">
        <v>45</v>
      </c>
      <c r="B4" s="8">
        <v>1907</v>
      </c>
      <c r="C4" s="3" t="s">
        <v>44</v>
      </c>
      <c r="D4" s="3" t="s">
        <v>0</v>
      </c>
      <c r="E4" s="3">
        <v>6702</v>
      </c>
      <c r="F4" s="3">
        <v>152350</v>
      </c>
      <c r="G4" s="3">
        <v>159052</v>
      </c>
      <c r="H4" s="3">
        <v>400</v>
      </c>
      <c r="I4" s="3">
        <v>158652</v>
      </c>
      <c r="J4" s="3">
        <v>6702</v>
      </c>
      <c r="K4" s="3">
        <v>158652</v>
      </c>
      <c r="L4" s="3">
        <v>152350</v>
      </c>
      <c r="M4" s="4" t="s">
        <v>3</v>
      </c>
    </row>
    <row r="5" spans="1:13" x14ac:dyDescent="0.25">
      <c r="A5" s="3" t="s">
        <v>43</v>
      </c>
      <c r="B5" s="8">
        <v>1908</v>
      </c>
      <c r="C5" s="3" t="s">
        <v>42</v>
      </c>
      <c r="D5" s="3" t="s">
        <v>0</v>
      </c>
      <c r="E5" s="3">
        <v>3926.9</v>
      </c>
      <c r="F5" s="3">
        <v>15855</v>
      </c>
      <c r="G5" s="3">
        <v>19781.900000000001</v>
      </c>
      <c r="H5" s="3">
        <v>270</v>
      </c>
      <c r="I5" s="3">
        <v>19511.900000000001</v>
      </c>
      <c r="J5" s="3">
        <v>3926.9</v>
      </c>
      <c r="K5" s="3">
        <v>19511</v>
      </c>
      <c r="L5" s="3">
        <v>8580</v>
      </c>
      <c r="M5" s="1">
        <v>-0.9</v>
      </c>
    </row>
    <row r="6" spans="1:13" x14ac:dyDescent="0.25">
      <c r="A6" s="3" t="s">
        <v>41</v>
      </c>
      <c r="B6" s="8">
        <v>1909</v>
      </c>
      <c r="C6" s="3" t="s">
        <v>40</v>
      </c>
      <c r="D6" s="3" t="s">
        <v>0</v>
      </c>
      <c r="E6" s="3">
        <v>50159</v>
      </c>
      <c r="F6" s="3">
        <v>15120</v>
      </c>
      <c r="G6" s="3">
        <v>65279</v>
      </c>
      <c r="H6" s="3">
        <v>780</v>
      </c>
      <c r="I6" s="3">
        <v>64499</v>
      </c>
      <c r="J6" s="3">
        <v>50159</v>
      </c>
      <c r="K6" s="3">
        <v>64499</v>
      </c>
      <c r="L6" s="3">
        <v>13998</v>
      </c>
      <c r="M6" s="4" t="s">
        <v>3</v>
      </c>
    </row>
    <row r="7" spans="1:13" x14ac:dyDescent="0.25">
      <c r="A7" s="3" t="s">
        <v>39</v>
      </c>
      <c r="B7" s="8">
        <v>1910</v>
      </c>
      <c r="C7" s="3" t="s">
        <v>38</v>
      </c>
      <c r="D7" s="3" t="s">
        <v>0</v>
      </c>
      <c r="E7" s="3">
        <v>12909</v>
      </c>
      <c r="F7" s="3" t="s">
        <v>3</v>
      </c>
      <c r="G7" s="3">
        <v>12909</v>
      </c>
      <c r="H7" s="3">
        <v>8800</v>
      </c>
      <c r="I7" s="3">
        <v>4109</v>
      </c>
      <c r="J7" s="3">
        <v>12909</v>
      </c>
      <c r="K7" s="3">
        <v>4109</v>
      </c>
      <c r="L7" s="3">
        <v>9000</v>
      </c>
      <c r="M7" s="4" t="s">
        <v>3</v>
      </c>
    </row>
    <row r="8" spans="1:13" x14ac:dyDescent="0.25">
      <c r="A8" s="3" t="s">
        <v>37</v>
      </c>
      <c r="B8" s="8">
        <v>1911</v>
      </c>
      <c r="C8" s="3" t="s">
        <v>36</v>
      </c>
      <c r="D8" s="3" t="s">
        <v>0</v>
      </c>
      <c r="E8" s="3">
        <v>23584</v>
      </c>
      <c r="F8" s="3" t="s">
        <v>3</v>
      </c>
      <c r="G8" s="3">
        <v>23584</v>
      </c>
      <c r="H8" s="3">
        <v>1200</v>
      </c>
      <c r="I8" s="3">
        <v>22384</v>
      </c>
      <c r="J8" s="3">
        <v>23584</v>
      </c>
      <c r="K8" s="3">
        <v>22900</v>
      </c>
      <c r="L8" s="3">
        <v>17160</v>
      </c>
      <c r="M8" s="4">
        <v>516</v>
      </c>
    </row>
    <row r="9" spans="1:13" x14ac:dyDescent="0.25">
      <c r="A9" s="3" t="s">
        <v>35</v>
      </c>
      <c r="B9" s="8">
        <v>1912</v>
      </c>
      <c r="C9" s="3" t="s">
        <v>34</v>
      </c>
      <c r="D9" s="3" t="s">
        <v>0</v>
      </c>
      <c r="E9" s="3">
        <v>22059</v>
      </c>
      <c r="F9" s="3" t="s">
        <v>3</v>
      </c>
      <c r="G9" s="3">
        <v>22059</v>
      </c>
      <c r="H9" s="3">
        <v>500</v>
      </c>
      <c r="I9" s="3">
        <v>21559</v>
      </c>
      <c r="J9" s="3">
        <v>22059</v>
      </c>
      <c r="K9" s="3">
        <v>21559</v>
      </c>
      <c r="L9" s="3" t="s">
        <v>3</v>
      </c>
      <c r="M9" s="4" t="s">
        <v>3</v>
      </c>
    </row>
    <row r="10" spans="1:13" x14ac:dyDescent="0.25">
      <c r="A10" s="3" t="s">
        <v>33</v>
      </c>
      <c r="B10" s="8">
        <v>1913</v>
      </c>
      <c r="C10" s="3" t="s">
        <v>32</v>
      </c>
      <c r="D10" s="3" t="s">
        <v>0</v>
      </c>
      <c r="E10" s="3">
        <v>14908.08</v>
      </c>
      <c r="F10" s="3">
        <v>5910</v>
      </c>
      <c r="G10" s="3">
        <v>20818.080000000002</v>
      </c>
      <c r="H10" s="3">
        <v>200</v>
      </c>
      <c r="I10" s="3">
        <v>20618.080000000002</v>
      </c>
      <c r="J10" s="3">
        <v>14908.08</v>
      </c>
      <c r="K10" s="3">
        <v>20618</v>
      </c>
      <c r="L10" s="3">
        <v>1233</v>
      </c>
      <c r="M10" s="1">
        <v>-0.08</v>
      </c>
    </row>
    <row r="11" spans="1:13" x14ac:dyDescent="0.25">
      <c r="A11" s="3" t="s">
        <v>31</v>
      </c>
      <c r="B11" s="8">
        <v>1914</v>
      </c>
      <c r="C11" s="3" t="s">
        <v>30</v>
      </c>
      <c r="D11" s="3" t="s">
        <v>0</v>
      </c>
      <c r="E11" s="3">
        <v>40106</v>
      </c>
      <c r="F11" s="3">
        <v>104687</v>
      </c>
      <c r="G11" s="3">
        <v>144793</v>
      </c>
      <c r="H11" s="3">
        <v>800</v>
      </c>
      <c r="I11" s="3">
        <v>143993</v>
      </c>
      <c r="J11" s="3">
        <v>40106</v>
      </c>
      <c r="K11" s="3">
        <v>143993</v>
      </c>
      <c r="L11" s="3">
        <v>67420</v>
      </c>
      <c r="M11" s="4" t="s">
        <v>3</v>
      </c>
    </row>
    <row r="12" spans="1:13" x14ac:dyDescent="0.25">
      <c r="A12" s="3" t="s">
        <v>29</v>
      </c>
      <c r="B12" s="8">
        <v>1915</v>
      </c>
      <c r="C12" s="3" t="s">
        <v>28</v>
      </c>
      <c r="D12" s="3" t="s">
        <v>0</v>
      </c>
      <c r="E12" s="3">
        <v>4390</v>
      </c>
      <c r="F12" s="3">
        <v>28130</v>
      </c>
      <c r="G12" s="3">
        <v>32520</v>
      </c>
      <c r="H12" s="3">
        <v>2300</v>
      </c>
      <c r="I12" s="3">
        <v>30220</v>
      </c>
      <c r="J12" s="3">
        <v>4390</v>
      </c>
      <c r="K12" s="3">
        <v>30220</v>
      </c>
      <c r="L12" s="3" t="s">
        <v>3</v>
      </c>
      <c r="M12" s="4" t="s">
        <v>3</v>
      </c>
    </row>
    <row r="13" spans="1:13" x14ac:dyDescent="0.25">
      <c r="A13" s="3" t="s">
        <v>27</v>
      </c>
      <c r="B13" s="8">
        <v>1916</v>
      </c>
      <c r="C13" s="3" t="s">
        <v>26</v>
      </c>
      <c r="D13" s="3" t="s">
        <v>0</v>
      </c>
      <c r="E13" s="3">
        <v>24108</v>
      </c>
      <c r="F13" s="3">
        <v>2580</v>
      </c>
      <c r="G13" s="3">
        <v>26688</v>
      </c>
      <c r="H13" s="3">
        <v>10600</v>
      </c>
      <c r="I13" s="3">
        <v>16088</v>
      </c>
      <c r="J13" s="3">
        <v>24108</v>
      </c>
      <c r="K13" s="3">
        <v>16100</v>
      </c>
      <c r="L13" s="3">
        <v>17580</v>
      </c>
      <c r="M13" s="4">
        <v>12</v>
      </c>
    </row>
    <row r="14" spans="1:13" x14ac:dyDescent="0.25">
      <c r="A14" s="3" t="s">
        <v>25</v>
      </c>
      <c r="B14" s="8">
        <v>1917</v>
      </c>
      <c r="C14" s="3" t="s">
        <v>24</v>
      </c>
      <c r="D14" s="3" t="s">
        <v>0</v>
      </c>
      <c r="E14" s="3">
        <v>56120.28</v>
      </c>
      <c r="F14" s="3" t="s">
        <v>3</v>
      </c>
      <c r="G14" s="3">
        <v>56120.28</v>
      </c>
      <c r="H14" s="3">
        <v>450</v>
      </c>
      <c r="I14" s="3">
        <v>55670.28</v>
      </c>
      <c r="J14" s="3">
        <v>56120.28</v>
      </c>
      <c r="K14" s="3">
        <v>55670</v>
      </c>
      <c r="L14" s="3">
        <v>17160</v>
      </c>
      <c r="M14" s="1">
        <v>-0.28000000000000003</v>
      </c>
    </row>
    <row r="15" spans="1:13" x14ac:dyDescent="0.25">
      <c r="A15" s="3" t="s">
        <v>23</v>
      </c>
      <c r="B15" s="8">
        <v>1918</v>
      </c>
      <c r="C15" s="3" t="s">
        <v>22</v>
      </c>
      <c r="D15" s="3" t="s">
        <v>0</v>
      </c>
      <c r="E15" s="3">
        <v>46794</v>
      </c>
      <c r="F15" s="3" t="s">
        <v>3</v>
      </c>
      <c r="G15" s="3">
        <v>46794</v>
      </c>
      <c r="H15" s="3">
        <v>2300</v>
      </c>
      <c r="I15" s="3">
        <v>44494</v>
      </c>
      <c r="J15" s="3">
        <v>46794</v>
      </c>
      <c r="K15" s="3">
        <v>44494</v>
      </c>
      <c r="L15" s="3">
        <v>39900</v>
      </c>
      <c r="M15" s="4" t="s">
        <v>3</v>
      </c>
    </row>
    <row r="16" spans="1:13" x14ac:dyDescent="0.25">
      <c r="A16" s="3" t="s">
        <v>21</v>
      </c>
      <c r="B16" s="8">
        <v>1919</v>
      </c>
      <c r="C16" s="3" t="s">
        <v>20</v>
      </c>
      <c r="D16" s="3" t="s">
        <v>0</v>
      </c>
      <c r="E16" s="3">
        <v>3700</v>
      </c>
      <c r="F16" s="3">
        <v>86260</v>
      </c>
      <c r="G16" s="3">
        <v>89960</v>
      </c>
      <c r="H16" s="3">
        <v>1300</v>
      </c>
      <c r="I16" s="3">
        <v>88660</v>
      </c>
      <c r="J16" s="3">
        <v>3700</v>
      </c>
      <c r="K16" s="3">
        <v>88360</v>
      </c>
      <c r="L16" s="3">
        <v>179801</v>
      </c>
      <c r="M16" s="1">
        <v>-300</v>
      </c>
    </row>
    <row r="17" spans="1:13" x14ac:dyDescent="0.25">
      <c r="A17" s="3" t="s">
        <v>19</v>
      </c>
      <c r="B17" s="8">
        <v>1920</v>
      </c>
      <c r="C17" s="3" t="s">
        <v>18</v>
      </c>
      <c r="D17" s="3" t="s">
        <v>0</v>
      </c>
      <c r="E17" s="3">
        <v>7541</v>
      </c>
      <c r="F17" s="3" t="s">
        <v>3</v>
      </c>
      <c r="G17" s="3">
        <v>7541</v>
      </c>
      <c r="H17" s="3">
        <v>2570</v>
      </c>
      <c r="I17" s="3">
        <v>4971</v>
      </c>
      <c r="J17" s="3">
        <v>7541</v>
      </c>
      <c r="K17" s="3">
        <v>4970</v>
      </c>
      <c r="L17" s="3">
        <v>27600</v>
      </c>
      <c r="M17" s="1">
        <v>-1</v>
      </c>
    </row>
    <row r="18" spans="1:13" x14ac:dyDescent="0.25">
      <c r="A18" s="3" t="s">
        <v>17</v>
      </c>
      <c r="B18" s="8">
        <v>1921</v>
      </c>
      <c r="C18" s="3" t="s">
        <v>16</v>
      </c>
      <c r="D18" s="3" t="s">
        <v>0</v>
      </c>
      <c r="E18" s="3">
        <v>28122</v>
      </c>
      <c r="F18" s="3">
        <v>78748</v>
      </c>
      <c r="G18" s="3">
        <v>106870</v>
      </c>
      <c r="H18" s="3">
        <v>1000</v>
      </c>
      <c r="I18" s="3">
        <v>105870</v>
      </c>
      <c r="J18" s="3">
        <v>28122</v>
      </c>
      <c r="K18" s="3">
        <v>105870</v>
      </c>
      <c r="L18" s="3">
        <v>46048</v>
      </c>
      <c r="M18" s="4" t="s">
        <v>3</v>
      </c>
    </row>
    <row r="19" spans="1:13" x14ac:dyDescent="0.25">
      <c r="A19" s="3" t="s">
        <v>15</v>
      </c>
      <c r="B19" s="8">
        <v>1922</v>
      </c>
      <c r="C19" s="3" t="s">
        <v>14</v>
      </c>
      <c r="D19" s="3" t="s">
        <v>0</v>
      </c>
      <c r="E19" s="3">
        <v>16262</v>
      </c>
      <c r="F19" s="3">
        <v>33600</v>
      </c>
      <c r="G19" s="3">
        <v>49862</v>
      </c>
      <c r="H19" s="3">
        <v>8800</v>
      </c>
      <c r="I19" s="3">
        <v>41062</v>
      </c>
      <c r="J19" s="3">
        <v>16262</v>
      </c>
      <c r="K19" s="3">
        <v>41061</v>
      </c>
      <c r="L19" s="3">
        <v>2363</v>
      </c>
      <c r="M19" s="1">
        <v>-1</v>
      </c>
    </row>
    <row r="20" spans="1:13" x14ac:dyDescent="0.25">
      <c r="A20" s="3" t="s">
        <v>13</v>
      </c>
      <c r="B20" s="8">
        <v>1923</v>
      </c>
      <c r="C20" s="3" t="s">
        <v>12</v>
      </c>
      <c r="D20" s="3" t="s">
        <v>0</v>
      </c>
      <c r="E20" s="3">
        <v>6494</v>
      </c>
      <c r="F20" s="3" t="s">
        <v>3</v>
      </c>
      <c r="G20" s="3">
        <v>6494</v>
      </c>
      <c r="H20" s="3">
        <v>300</v>
      </c>
      <c r="I20" s="3">
        <v>6194</v>
      </c>
      <c r="J20" s="3">
        <v>6494</v>
      </c>
      <c r="K20" s="3">
        <v>6194</v>
      </c>
      <c r="L20" s="3">
        <v>6645</v>
      </c>
      <c r="M20" s="4" t="s">
        <v>3</v>
      </c>
    </row>
    <row r="21" spans="1:13" x14ac:dyDescent="0.25">
      <c r="A21" s="3" t="s">
        <v>11</v>
      </c>
      <c r="B21" s="8">
        <v>1924</v>
      </c>
      <c r="C21" s="3" t="s">
        <v>10</v>
      </c>
      <c r="D21" s="3" t="s">
        <v>0</v>
      </c>
      <c r="E21" s="3">
        <v>12462.75</v>
      </c>
      <c r="F21" s="3">
        <v>192000</v>
      </c>
      <c r="G21" s="3">
        <v>204462.75</v>
      </c>
      <c r="H21" s="3">
        <v>300</v>
      </c>
      <c r="I21" s="3">
        <v>204162.75</v>
      </c>
      <c r="J21" s="3">
        <v>12462.75</v>
      </c>
      <c r="K21" s="3">
        <v>204162</v>
      </c>
      <c r="L21" s="3">
        <v>25459</v>
      </c>
      <c r="M21" s="4">
        <v>-0.75</v>
      </c>
    </row>
    <row r="22" spans="1:13" x14ac:dyDescent="0.25">
      <c r="A22" s="3" t="s">
        <v>9</v>
      </c>
      <c r="B22" s="8">
        <v>1925</v>
      </c>
      <c r="C22" s="3" t="s">
        <v>8</v>
      </c>
      <c r="D22" s="3" t="s">
        <v>0</v>
      </c>
      <c r="E22" s="3">
        <v>7459.14</v>
      </c>
      <c r="F22" s="3" t="s">
        <v>3</v>
      </c>
      <c r="G22" s="3">
        <v>7459.14</v>
      </c>
      <c r="H22" s="3">
        <v>2800</v>
      </c>
      <c r="I22" s="3">
        <v>4659.1400000000003</v>
      </c>
      <c r="J22" s="3">
        <v>7459.14</v>
      </c>
      <c r="K22" s="3">
        <v>3658</v>
      </c>
      <c r="L22" s="3">
        <v>19310</v>
      </c>
      <c r="M22" s="1">
        <v>-1001.14</v>
      </c>
    </row>
    <row r="23" spans="1:13" x14ac:dyDescent="0.25">
      <c r="A23" s="3" t="s">
        <v>7</v>
      </c>
      <c r="B23" s="8">
        <v>1926</v>
      </c>
      <c r="C23" s="3" t="s">
        <v>6</v>
      </c>
      <c r="D23" s="3" t="s">
        <v>0</v>
      </c>
      <c r="E23" s="3">
        <v>4149</v>
      </c>
      <c r="F23" s="3">
        <v>35739</v>
      </c>
      <c r="G23" s="3">
        <v>39888</v>
      </c>
      <c r="H23" s="3">
        <v>700</v>
      </c>
      <c r="I23" s="3">
        <v>39188</v>
      </c>
      <c r="J23" s="3">
        <v>4149</v>
      </c>
      <c r="K23" s="3">
        <v>39188</v>
      </c>
      <c r="L23" s="3">
        <v>643</v>
      </c>
      <c r="M23" s="4" t="s">
        <v>3</v>
      </c>
    </row>
    <row r="24" spans="1:13" x14ac:dyDescent="0.25">
      <c r="A24" s="3" t="s">
        <v>5</v>
      </c>
      <c r="B24" s="8">
        <v>1927</v>
      </c>
      <c r="C24" s="3" t="s">
        <v>4</v>
      </c>
      <c r="D24" s="3" t="s">
        <v>0</v>
      </c>
      <c r="E24" s="3">
        <v>11793</v>
      </c>
      <c r="F24" s="3" t="s">
        <v>3</v>
      </c>
      <c r="G24" s="3">
        <v>11793</v>
      </c>
      <c r="H24" s="3">
        <v>300</v>
      </c>
      <c r="I24" s="3">
        <v>11493</v>
      </c>
      <c r="J24" s="3">
        <v>11793</v>
      </c>
      <c r="K24" s="3">
        <v>11038</v>
      </c>
      <c r="L24" s="3">
        <v>6435</v>
      </c>
      <c r="M24" s="1">
        <v>-455</v>
      </c>
    </row>
    <row r="25" spans="1:13" x14ac:dyDescent="0.25">
      <c r="A25" s="3" t="s">
        <v>2</v>
      </c>
      <c r="B25" s="8">
        <v>1928</v>
      </c>
      <c r="C25" s="3" t="s">
        <v>1</v>
      </c>
      <c r="D25" s="3" t="s">
        <v>0</v>
      </c>
      <c r="E25" s="3">
        <v>27781</v>
      </c>
      <c r="F25" s="3">
        <v>3907</v>
      </c>
      <c r="G25" s="3">
        <v>31688</v>
      </c>
      <c r="H25" s="3">
        <v>10800</v>
      </c>
      <c r="I25" s="3">
        <v>20888</v>
      </c>
      <c r="J25" s="3">
        <v>27781</v>
      </c>
      <c r="K25" s="3">
        <v>19324</v>
      </c>
      <c r="L25" s="3">
        <v>2116</v>
      </c>
      <c r="M25" s="1">
        <v>-1564</v>
      </c>
    </row>
    <row r="26" spans="1:13" x14ac:dyDescent="0.25">
      <c r="A26" s="3"/>
      <c r="B26" s="3"/>
      <c r="C26" s="3"/>
      <c r="D26" s="3"/>
      <c r="E26" s="2">
        <f t="shared" ref="E26:M26" si="0">SUBTOTAL(109,E2:E25)</f>
        <v>447925.61</v>
      </c>
      <c r="F26" s="2">
        <f t="shared" si="0"/>
        <v>754886</v>
      </c>
      <c r="G26" s="2">
        <f t="shared" si="0"/>
        <v>1202811.6099999999</v>
      </c>
      <c r="H26" s="2">
        <f t="shared" si="0"/>
        <v>64975</v>
      </c>
      <c r="I26" s="2">
        <f t="shared" si="0"/>
        <v>1137836.6099999999</v>
      </c>
      <c r="J26" s="2">
        <f t="shared" si="0"/>
        <v>447925.61</v>
      </c>
      <c r="K26" s="2">
        <f t="shared" si="0"/>
        <v>1135040</v>
      </c>
      <c r="L26" s="2">
        <f t="shared" si="0"/>
        <v>684291</v>
      </c>
      <c r="M26" s="1">
        <f t="shared" si="0"/>
        <v>-2796.61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81298-DA70-4547-8212-EFD458DD4EB0}">
  <dimension ref="A1:H34"/>
  <sheetViews>
    <sheetView workbookViewId="0">
      <selection activeCell="G28" sqref="G28:G33"/>
    </sheetView>
  </sheetViews>
  <sheetFormatPr baseColWidth="10" defaultRowHeight="15" x14ac:dyDescent="0.25"/>
  <cols>
    <col min="3" max="3" width="9.85546875" customWidth="1"/>
    <col min="4" max="4" width="14.140625" bestFit="1" customWidth="1"/>
    <col min="5" max="5" width="11.5703125" bestFit="1" customWidth="1"/>
    <col min="6" max="6" width="14.140625" bestFit="1" customWidth="1"/>
    <col min="7" max="7" width="14.28515625" customWidth="1"/>
    <col min="8" max="8" width="14" customWidth="1"/>
  </cols>
  <sheetData>
    <row r="1" spans="1:8" x14ac:dyDescent="0.25">
      <c r="A1" s="11" t="s">
        <v>76</v>
      </c>
      <c r="B1" s="11" t="s">
        <v>77</v>
      </c>
      <c r="C1" s="11" t="s">
        <v>61</v>
      </c>
      <c r="D1" s="11" t="s">
        <v>56</v>
      </c>
      <c r="E1" s="11" t="s">
        <v>78</v>
      </c>
      <c r="F1" s="11" t="s">
        <v>79</v>
      </c>
      <c r="G1" s="11" t="s">
        <v>80</v>
      </c>
      <c r="H1" s="11" t="s">
        <v>81</v>
      </c>
    </row>
    <row r="2" spans="1:8" x14ac:dyDescent="0.25">
      <c r="A2" t="s">
        <v>49</v>
      </c>
      <c r="B2" t="s">
        <v>66</v>
      </c>
      <c r="C2">
        <v>1905</v>
      </c>
      <c r="D2" s="9">
        <v>8734.4599999999991</v>
      </c>
      <c r="E2" s="9">
        <v>3615</v>
      </c>
      <c r="F2" s="9">
        <v>5119.46</v>
      </c>
      <c r="G2" s="9">
        <v>5119</v>
      </c>
      <c r="H2" s="12">
        <v>-0.46</v>
      </c>
    </row>
    <row r="3" spans="1:8" x14ac:dyDescent="0.25">
      <c r="A3" t="s">
        <v>47</v>
      </c>
      <c r="B3" t="s">
        <v>67</v>
      </c>
      <c r="C3">
        <v>1906</v>
      </c>
      <c r="D3" s="9">
        <v>7661</v>
      </c>
      <c r="E3" s="9">
        <v>3890</v>
      </c>
      <c r="F3" s="9">
        <v>3771</v>
      </c>
      <c r="G3" s="9">
        <v>3771</v>
      </c>
      <c r="H3" s="10" t="s">
        <v>3</v>
      </c>
    </row>
    <row r="4" spans="1:8" x14ac:dyDescent="0.25">
      <c r="A4" t="s">
        <v>45</v>
      </c>
      <c r="B4" t="s">
        <v>68</v>
      </c>
      <c r="C4">
        <v>1907</v>
      </c>
      <c r="D4" s="9">
        <v>159052</v>
      </c>
      <c r="E4" s="9">
        <v>400</v>
      </c>
      <c r="F4" s="9">
        <v>158652</v>
      </c>
      <c r="G4" s="9">
        <v>158652</v>
      </c>
      <c r="H4" s="10" t="s">
        <v>3</v>
      </c>
    </row>
    <row r="5" spans="1:8" x14ac:dyDescent="0.25">
      <c r="A5" t="s">
        <v>43</v>
      </c>
      <c r="B5" t="s">
        <v>69</v>
      </c>
      <c r="C5">
        <v>1908</v>
      </c>
      <c r="D5" s="9">
        <v>19781.900000000001</v>
      </c>
      <c r="E5" s="9">
        <v>270</v>
      </c>
      <c r="F5" s="9">
        <v>19511.900000000001</v>
      </c>
      <c r="G5" s="9">
        <v>19511</v>
      </c>
      <c r="H5" s="12">
        <v>-0.9</v>
      </c>
    </row>
    <row r="6" spans="1:8" x14ac:dyDescent="0.25">
      <c r="A6" t="s">
        <v>41</v>
      </c>
      <c r="B6" t="s">
        <v>70</v>
      </c>
      <c r="C6">
        <v>1909</v>
      </c>
      <c r="D6" s="9">
        <v>65279</v>
      </c>
      <c r="E6" s="9">
        <v>780</v>
      </c>
      <c r="F6" s="9">
        <v>64499</v>
      </c>
      <c r="G6" s="9">
        <v>64499</v>
      </c>
      <c r="H6" s="10" t="s">
        <v>3</v>
      </c>
    </row>
    <row r="7" spans="1:8" x14ac:dyDescent="0.25">
      <c r="A7" t="s">
        <v>39</v>
      </c>
      <c r="B7" t="s">
        <v>71</v>
      </c>
      <c r="C7">
        <v>1910</v>
      </c>
      <c r="D7" s="9">
        <v>12909</v>
      </c>
      <c r="E7" s="9">
        <v>8800</v>
      </c>
      <c r="F7" s="9">
        <v>4109</v>
      </c>
      <c r="G7" s="9">
        <v>4109</v>
      </c>
      <c r="H7" s="10" t="s">
        <v>3</v>
      </c>
    </row>
    <row r="8" spans="1:8" x14ac:dyDescent="0.25">
      <c r="A8" t="s">
        <v>37</v>
      </c>
      <c r="B8" t="s">
        <v>66</v>
      </c>
      <c r="C8">
        <v>1911</v>
      </c>
      <c r="D8" s="9">
        <v>23584</v>
      </c>
      <c r="E8" s="9">
        <v>1200</v>
      </c>
      <c r="F8" s="9">
        <v>22384</v>
      </c>
      <c r="G8" s="9">
        <v>22900</v>
      </c>
      <c r="H8" s="10">
        <v>516</v>
      </c>
    </row>
    <row r="9" spans="1:8" x14ac:dyDescent="0.25">
      <c r="A9" t="s">
        <v>35</v>
      </c>
      <c r="B9" t="s">
        <v>67</v>
      </c>
      <c r="C9">
        <v>1912</v>
      </c>
      <c r="D9" s="9">
        <v>22059</v>
      </c>
      <c r="E9" s="9">
        <v>500</v>
      </c>
      <c r="F9" s="9">
        <v>21559</v>
      </c>
      <c r="G9" s="9">
        <v>21559</v>
      </c>
      <c r="H9" s="10" t="s">
        <v>3</v>
      </c>
    </row>
    <row r="10" spans="1:8" x14ac:dyDescent="0.25">
      <c r="A10" t="s">
        <v>33</v>
      </c>
      <c r="B10" t="s">
        <v>68</v>
      </c>
      <c r="C10">
        <v>1913</v>
      </c>
      <c r="D10" s="9">
        <v>20818.080000000002</v>
      </c>
      <c r="E10" s="9">
        <v>200</v>
      </c>
      <c r="F10" s="9">
        <v>20618.080000000002</v>
      </c>
      <c r="G10" s="9">
        <v>20618</v>
      </c>
      <c r="H10" s="12">
        <v>-0.08</v>
      </c>
    </row>
    <row r="11" spans="1:8" x14ac:dyDescent="0.25">
      <c r="A11" t="s">
        <v>31</v>
      </c>
      <c r="B11" t="s">
        <v>69</v>
      </c>
      <c r="C11">
        <v>1914</v>
      </c>
      <c r="D11" s="9">
        <v>144793</v>
      </c>
      <c r="E11" s="9">
        <v>800</v>
      </c>
      <c r="F11" s="9">
        <v>143993</v>
      </c>
      <c r="G11" s="9">
        <v>143993</v>
      </c>
      <c r="H11" s="10" t="s">
        <v>3</v>
      </c>
    </row>
    <row r="12" spans="1:8" x14ac:dyDescent="0.25">
      <c r="A12" t="s">
        <v>29</v>
      </c>
      <c r="B12" t="s">
        <v>70</v>
      </c>
      <c r="C12">
        <v>1915</v>
      </c>
      <c r="D12" s="9">
        <v>32520</v>
      </c>
      <c r="E12" s="9">
        <v>2300</v>
      </c>
      <c r="F12" s="9">
        <v>30220</v>
      </c>
      <c r="G12" s="9">
        <v>30220</v>
      </c>
      <c r="H12" s="10" t="s">
        <v>3</v>
      </c>
    </row>
    <row r="13" spans="1:8" x14ac:dyDescent="0.25">
      <c r="A13" t="s">
        <v>27</v>
      </c>
      <c r="B13" t="s">
        <v>71</v>
      </c>
      <c r="C13">
        <v>1916</v>
      </c>
      <c r="D13" s="9">
        <v>26688</v>
      </c>
      <c r="E13" s="9">
        <v>10600</v>
      </c>
      <c r="F13" s="9">
        <v>16088</v>
      </c>
      <c r="G13" s="9">
        <v>16100</v>
      </c>
      <c r="H13" s="10">
        <v>12</v>
      </c>
    </row>
    <row r="14" spans="1:8" x14ac:dyDescent="0.25">
      <c r="A14" t="s">
        <v>25</v>
      </c>
      <c r="B14" t="s">
        <v>66</v>
      </c>
      <c r="C14">
        <v>1917</v>
      </c>
      <c r="D14" s="9">
        <v>56120.28</v>
      </c>
      <c r="E14" s="9">
        <v>450</v>
      </c>
      <c r="F14" s="9">
        <v>55670.28</v>
      </c>
      <c r="G14" s="9">
        <v>55670</v>
      </c>
      <c r="H14" s="12">
        <v>-0.28000000000000003</v>
      </c>
    </row>
    <row r="15" spans="1:8" x14ac:dyDescent="0.25">
      <c r="A15" t="s">
        <v>23</v>
      </c>
      <c r="B15" t="s">
        <v>67</v>
      </c>
      <c r="C15">
        <v>1918</v>
      </c>
      <c r="D15" s="9">
        <v>46794</v>
      </c>
      <c r="E15" s="9">
        <v>2300</v>
      </c>
      <c r="F15" s="9">
        <v>44494</v>
      </c>
      <c r="G15" s="9">
        <v>44494</v>
      </c>
      <c r="H15" s="10" t="s">
        <v>3</v>
      </c>
    </row>
    <row r="16" spans="1:8" x14ac:dyDescent="0.25">
      <c r="A16" t="s">
        <v>21</v>
      </c>
      <c r="B16" t="s">
        <v>68</v>
      </c>
      <c r="C16">
        <v>1919</v>
      </c>
      <c r="D16" s="9">
        <v>89960</v>
      </c>
      <c r="E16" s="9">
        <v>1300</v>
      </c>
      <c r="F16" s="9">
        <v>88660</v>
      </c>
      <c r="G16" s="9">
        <v>88360</v>
      </c>
      <c r="H16" s="12">
        <v>-300</v>
      </c>
    </row>
    <row r="17" spans="1:8" x14ac:dyDescent="0.25">
      <c r="A17" t="s">
        <v>19</v>
      </c>
      <c r="B17" t="s">
        <v>69</v>
      </c>
      <c r="C17">
        <v>1920</v>
      </c>
      <c r="D17" s="9">
        <v>7541</v>
      </c>
      <c r="E17" s="9">
        <v>2570</v>
      </c>
      <c r="F17" s="9">
        <v>4971</v>
      </c>
      <c r="G17" s="9">
        <v>4970</v>
      </c>
      <c r="H17" s="12">
        <v>-1</v>
      </c>
    </row>
    <row r="18" spans="1:8" x14ac:dyDescent="0.25">
      <c r="A18" t="s">
        <v>17</v>
      </c>
      <c r="B18" t="s">
        <v>70</v>
      </c>
      <c r="C18">
        <v>1921</v>
      </c>
      <c r="D18" s="9">
        <v>106870</v>
      </c>
      <c r="E18" s="9">
        <v>1000</v>
      </c>
      <c r="F18" s="9">
        <v>105870</v>
      </c>
      <c r="G18" s="9">
        <v>105870</v>
      </c>
      <c r="H18" s="10" t="s">
        <v>3</v>
      </c>
    </row>
    <row r="19" spans="1:8" x14ac:dyDescent="0.25">
      <c r="A19" t="s">
        <v>15</v>
      </c>
      <c r="B19" t="s">
        <v>71</v>
      </c>
      <c r="C19">
        <v>1922</v>
      </c>
      <c r="D19" s="9">
        <v>49862</v>
      </c>
      <c r="E19" s="9">
        <v>8800</v>
      </c>
      <c r="F19" s="9">
        <v>41062</v>
      </c>
      <c r="G19" s="9">
        <v>41061</v>
      </c>
      <c r="H19" s="12">
        <v>-1</v>
      </c>
    </row>
    <row r="20" spans="1:8" x14ac:dyDescent="0.25">
      <c r="A20" t="s">
        <v>13</v>
      </c>
      <c r="B20" t="s">
        <v>66</v>
      </c>
      <c r="C20">
        <v>1923</v>
      </c>
      <c r="D20" s="9">
        <v>6494</v>
      </c>
      <c r="E20" s="9">
        <v>300</v>
      </c>
      <c r="F20" s="9">
        <v>6194</v>
      </c>
      <c r="G20" s="9">
        <v>6194</v>
      </c>
      <c r="H20" s="10" t="s">
        <v>3</v>
      </c>
    </row>
    <row r="21" spans="1:8" x14ac:dyDescent="0.25">
      <c r="A21" t="s">
        <v>11</v>
      </c>
      <c r="B21" t="s">
        <v>67</v>
      </c>
      <c r="C21">
        <v>1924</v>
      </c>
      <c r="D21" s="9">
        <v>204462.75</v>
      </c>
      <c r="E21" s="9">
        <v>300</v>
      </c>
      <c r="F21" s="9">
        <v>204162.75</v>
      </c>
      <c r="G21" s="9">
        <v>204162</v>
      </c>
      <c r="H21" s="12">
        <v>-0.75</v>
      </c>
    </row>
    <row r="22" spans="1:8" x14ac:dyDescent="0.25">
      <c r="A22" t="s">
        <v>9</v>
      </c>
      <c r="B22" t="s">
        <v>68</v>
      </c>
      <c r="C22">
        <v>1925</v>
      </c>
      <c r="D22" s="9">
        <v>7459.14</v>
      </c>
      <c r="E22" s="9">
        <v>2800</v>
      </c>
      <c r="F22" s="9">
        <v>4659.1400000000003</v>
      </c>
      <c r="G22" s="9">
        <v>3658</v>
      </c>
      <c r="H22" s="12">
        <v>-1001.14</v>
      </c>
    </row>
    <row r="23" spans="1:8" x14ac:dyDescent="0.25">
      <c r="A23" t="s">
        <v>7</v>
      </c>
      <c r="B23" t="s">
        <v>69</v>
      </c>
      <c r="C23">
        <v>1926</v>
      </c>
      <c r="D23" s="9">
        <v>39888</v>
      </c>
      <c r="E23" s="9">
        <v>700</v>
      </c>
      <c r="F23" s="9">
        <v>39188</v>
      </c>
      <c r="G23" s="9">
        <v>39188</v>
      </c>
      <c r="H23" s="10" t="s">
        <v>3</v>
      </c>
    </row>
    <row r="24" spans="1:8" x14ac:dyDescent="0.25">
      <c r="A24" t="s">
        <v>5</v>
      </c>
      <c r="B24" t="s">
        <v>70</v>
      </c>
      <c r="C24">
        <v>1927</v>
      </c>
      <c r="D24" s="9">
        <v>11793</v>
      </c>
      <c r="E24" s="9">
        <v>300</v>
      </c>
      <c r="F24" s="9">
        <v>11493</v>
      </c>
      <c r="G24" s="9">
        <v>11038</v>
      </c>
      <c r="H24" s="12">
        <v>-455</v>
      </c>
    </row>
    <row r="25" spans="1:8" x14ac:dyDescent="0.25">
      <c r="A25" t="s">
        <v>2</v>
      </c>
      <c r="B25" t="s">
        <v>71</v>
      </c>
      <c r="C25">
        <v>1928</v>
      </c>
      <c r="D25" s="9">
        <v>31688</v>
      </c>
      <c r="E25" s="9">
        <v>10800</v>
      </c>
      <c r="F25" s="9">
        <v>20888</v>
      </c>
      <c r="G25" s="9">
        <v>19324</v>
      </c>
      <c r="H25" s="12">
        <v>-1564</v>
      </c>
    </row>
    <row r="27" spans="1:8" x14ac:dyDescent="0.25">
      <c r="B27" s="32" t="s">
        <v>82</v>
      </c>
      <c r="C27" s="32"/>
      <c r="D27" s="13" t="s">
        <v>56</v>
      </c>
      <c r="E27" s="14" t="s">
        <v>55</v>
      </c>
      <c r="F27" s="14" t="s">
        <v>54</v>
      </c>
      <c r="G27" s="14" t="s">
        <v>52</v>
      </c>
      <c r="H27" s="14" t="s">
        <v>50</v>
      </c>
    </row>
    <row r="28" spans="1:8" x14ac:dyDescent="0.25">
      <c r="B28" s="30" t="s">
        <v>83</v>
      </c>
      <c r="C28" s="30"/>
      <c r="D28" s="9">
        <f t="shared" ref="D28:H33" si="0">SUM(D2,D8,D14,D20)</f>
        <v>94932.739999999991</v>
      </c>
      <c r="E28" s="9">
        <f t="shared" si="0"/>
        <v>5565</v>
      </c>
      <c r="F28" s="9">
        <f t="shared" si="0"/>
        <v>89367.739999999991</v>
      </c>
      <c r="G28" s="9">
        <f t="shared" si="0"/>
        <v>89883</v>
      </c>
      <c r="H28" s="9">
        <f t="shared" si="0"/>
        <v>515.26</v>
      </c>
    </row>
    <row r="29" spans="1:8" x14ac:dyDescent="0.25">
      <c r="B29" s="30" t="s">
        <v>84</v>
      </c>
      <c r="C29" s="30"/>
      <c r="D29" s="9">
        <f t="shared" si="0"/>
        <v>280976.75</v>
      </c>
      <c r="E29" s="9">
        <f t="shared" si="0"/>
        <v>6990</v>
      </c>
      <c r="F29" s="9">
        <f t="shared" si="0"/>
        <v>273986.75</v>
      </c>
      <c r="G29" s="9">
        <f t="shared" si="0"/>
        <v>273986</v>
      </c>
      <c r="H29" s="9">
        <f t="shared" si="0"/>
        <v>-0.75</v>
      </c>
    </row>
    <row r="30" spans="1:8" x14ac:dyDescent="0.25">
      <c r="B30" s="30" t="s">
        <v>85</v>
      </c>
      <c r="C30" s="30"/>
      <c r="D30" s="9">
        <f t="shared" si="0"/>
        <v>277289.22000000003</v>
      </c>
      <c r="E30" s="9">
        <f t="shared" si="0"/>
        <v>4700</v>
      </c>
      <c r="F30" s="9">
        <f t="shared" si="0"/>
        <v>272589.22000000003</v>
      </c>
      <c r="G30" s="9">
        <f t="shared" si="0"/>
        <v>271288</v>
      </c>
      <c r="H30" s="9">
        <f t="shared" si="0"/>
        <v>-1301.22</v>
      </c>
    </row>
    <row r="31" spans="1:8" x14ac:dyDescent="0.25">
      <c r="B31" s="30" t="s">
        <v>86</v>
      </c>
      <c r="C31" s="30"/>
      <c r="D31" s="9">
        <f t="shared" si="0"/>
        <v>212003.9</v>
      </c>
      <c r="E31" s="9">
        <f t="shared" si="0"/>
        <v>4340</v>
      </c>
      <c r="F31" s="9">
        <f t="shared" si="0"/>
        <v>207663.9</v>
      </c>
      <c r="G31" s="9">
        <f t="shared" si="0"/>
        <v>207662</v>
      </c>
      <c r="H31" s="9">
        <f t="shared" si="0"/>
        <v>-1.9</v>
      </c>
    </row>
    <row r="32" spans="1:8" x14ac:dyDescent="0.25">
      <c r="B32" s="30" t="s">
        <v>87</v>
      </c>
      <c r="C32" s="30"/>
      <c r="D32" s="9">
        <f t="shared" si="0"/>
        <v>216462</v>
      </c>
      <c r="E32" s="9">
        <f t="shared" si="0"/>
        <v>4380</v>
      </c>
      <c r="F32" s="9">
        <f t="shared" si="0"/>
        <v>212082</v>
      </c>
      <c r="G32" s="9">
        <f t="shared" si="0"/>
        <v>211627</v>
      </c>
      <c r="H32" s="9">
        <f t="shared" si="0"/>
        <v>-455</v>
      </c>
    </row>
    <row r="33" spans="2:8" x14ac:dyDescent="0.25">
      <c r="B33" s="30" t="s">
        <v>88</v>
      </c>
      <c r="C33" s="30"/>
      <c r="D33" s="9">
        <f t="shared" si="0"/>
        <v>121147</v>
      </c>
      <c r="E33" s="9">
        <f t="shared" si="0"/>
        <v>39000</v>
      </c>
      <c r="F33" s="9">
        <f t="shared" si="0"/>
        <v>82147</v>
      </c>
      <c r="G33" s="9">
        <f t="shared" si="0"/>
        <v>80594</v>
      </c>
      <c r="H33" s="9">
        <f t="shared" si="0"/>
        <v>-1553</v>
      </c>
    </row>
    <row r="34" spans="2:8" x14ac:dyDescent="0.25">
      <c r="B34" s="31" t="s">
        <v>54</v>
      </c>
      <c r="C34" s="31"/>
      <c r="D34" s="15">
        <f>SUM(D28:D33)</f>
        <v>1202811.6099999999</v>
      </c>
      <c r="E34" s="15">
        <f>SUM(E28:E33)</f>
        <v>64975</v>
      </c>
      <c r="F34" s="15">
        <f>SUM(F28:F33)</f>
        <v>1137836.6099999999</v>
      </c>
      <c r="G34" s="15">
        <f>SUM(G28:G33)</f>
        <v>1135040</v>
      </c>
      <c r="H34" s="15">
        <f>SUM(H28:H33)</f>
        <v>-2796.61</v>
      </c>
    </row>
  </sheetData>
  <mergeCells count="8">
    <mergeCell ref="B33:C33"/>
    <mergeCell ref="B34:C34"/>
    <mergeCell ref="B27:C27"/>
    <mergeCell ref="B28:C28"/>
    <mergeCell ref="B29:C29"/>
    <mergeCell ref="B30:C30"/>
    <mergeCell ref="B31:C31"/>
    <mergeCell ref="B32:C3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9E296-1795-4A17-823E-160CF90D4AE5}">
  <dimension ref="A3:E40"/>
  <sheetViews>
    <sheetView topLeftCell="A13" workbookViewId="0">
      <selection activeCell="I20" sqref="I20"/>
    </sheetView>
  </sheetViews>
  <sheetFormatPr baseColWidth="10" defaultRowHeight="15" x14ac:dyDescent="0.25"/>
  <cols>
    <col min="1" max="1" width="12.5703125" bestFit="1" customWidth="1"/>
    <col min="2" max="2" width="10.7109375" bestFit="1" customWidth="1"/>
    <col min="3" max="3" width="16.140625" bestFit="1" customWidth="1"/>
    <col min="4" max="4" width="20.28515625" bestFit="1" customWidth="1"/>
    <col min="5" max="5" width="20" bestFit="1" customWidth="1"/>
  </cols>
  <sheetData>
    <row r="3" spans="1:5" x14ac:dyDescent="0.25">
      <c r="C3" t="s">
        <v>92</v>
      </c>
      <c r="D3" t="s">
        <v>90</v>
      </c>
      <c r="E3" t="s">
        <v>91</v>
      </c>
    </row>
    <row r="4" spans="1:5" x14ac:dyDescent="0.25">
      <c r="A4" t="s">
        <v>66</v>
      </c>
      <c r="C4" s="16"/>
      <c r="D4" s="16"/>
      <c r="E4" s="16"/>
    </row>
    <row r="5" spans="1:5" x14ac:dyDescent="0.25">
      <c r="B5" t="s">
        <v>49</v>
      </c>
      <c r="C5" s="9">
        <v>8734.4599999999991</v>
      </c>
      <c r="D5" s="9">
        <v>5119</v>
      </c>
      <c r="E5" s="9">
        <v>-0.46</v>
      </c>
    </row>
    <row r="6" spans="1:5" x14ac:dyDescent="0.25">
      <c r="B6" t="s">
        <v>37</v>
      </c>
      <c r="C6" s="9">
        <v>23584</v>
      </c>
      <c r="D6" s="9">
        <v>22900</v>
      </c>
      <c r="E6" s="9">
        <v>516</v>
      </c>
    </row>
    <row r="7" spans="1:5" x14ac:dyDescent="0.25">
      <c r="B7" t="s">
        <v>25</v>
      </c>
      <c r="C7" s="9">
        <v>56120.28</v>
      </c>
      <c r="D7" s="9">
        <v>55670</v>
      </c>
      <c r="E7" s="9">
        <v>-0.28000000000000003</v>
      </c>
    </row>
    <row r="8" spans="1:5" ht="15.75" thickBot="1" x14ac:dyDescent="0.3">
      <c r="B8" t="s">
        <v>13</v>
      </c>
      <c r="C8" s="9">
        <v>6494</v>
      </c>
      <c r="D8" s="9">
        <v>6194</v>
      </c>
      <c r="E8" s="9">
        <v>0</v>
      </c>
    </row>
    <row r="9" spans="1:5" ht="16.5" thickTop="1" thickBot="1" x14ac:dyDescent="0.3">
      <c r="A9" s="17" t="s">
        <v>93</v>
      </c>
      <c r="B9" s="17"/>
      <c r="C9" s="18">
        <v>94932.739999999991</v>
      </c>
      <c r="D9" s="18">
        <v>89883</v>
      </c>
      <c r="E9" s="18">
        <v>515.26</v>
      </c>
    </row>
    <row r="10" spans="1:5" ht="15.75" thickTop="1" x14ac:dyDescent="0.25">
      <c r="A10" t="s">
        <v>67</v>
      </c>
      <c r="C10" s="9"/>
      <c r="D10" s="9"/>
      <c r="E10" s="9"/>
    </row>
    <row r="11" spans="1:5" x14ac:dyDescent="0.25">
      <c r="B11" t="s">
        <v>47</v>
      </c>
      <c r="C11" s="9">
        <v>7661</v>
      </c>
      <c r="D11" s="9">
        <v>3771</v>
      </c>
      <c r="E11" s="9">
        <v>0</v>
      </c>
    </row>
    <row r="12" spans="1:5" x14ac:dyDescent="0.25">
      <c r="B12" t="s">
        <v>35</v>
      </c>
      <c r="C12" s="9">
        <v>22059</v>
      </c>
      <c r="D12" s="9">
        <v>21559</v>
      </c>
      <c r="E12" s="9">
        <v>0</v>
      </c>
    </row>
    <row r="13" spans="1:5" x14ac:dyDescent="0.25">
      <c r="B13" t="s">
        <v>23</v>
      </c>
      <c r="C13" s="9">
        <v>46794</v>
      </c>
      <c r="D13" s="9">
        <v>44494</v>
      </c>
      <c r="E13" s="9">
        <v>0</v>
      </c>
    </row>
    <row r="14" spans="1:5" ht="15.75" thickBot="1" x14ac:dyDescent="0.3">
      <c r="B14" t="s">
        <v>11</v>
      </c>
      <c r="C14" s="9">
        <v>204462.75</v>
      </c>
      <c r="D14" s="9">
        <v>204162</v>
      </c>
      <c r="E14" s="9">
        <v>-0.75</v>
      </c>
    </row>
    <row r="15" spans="1:5" ht="16.5" thickTop="1" thickBot="1" x14ac:dyDescent="0.3">
      <c r="A15" s="17" t="s">
        <v>93</v>
      </c>
      <c r="B15" s="17"/>
      <c r="C15" s="18">
        <v>280976.75</v>
      </c>
      <c r="D15" s="18">
        <v>273986</v>
      </c>
      <c r="E15" s="18">
        <v>-0.75</v>
      </c>
    </row>
    <row r="16" spans="1:5" ht="15.75" thickTop="1" x14ac:dyDescent="0.25">
      <c r="A16" t="s">
        <v>68</v>
      </c>
      <c r="C16" s="9"/>
      <c r="D16" s="9"/>
      <c r="E16" s="9"/>
    </row>
    <row r="17" spans="1:5" x14ac:dyDescent="0.25">
      <c r="B17" t="s">
        <v>45</v>
      </c>
      <c r="C17" s="9">
        <v>159052</v>
      </c>
      <c r="D17" s="9">
        <v>158652</v>
      </c>
      <c r="E17" s="9">
        <v>0</v>
      </c>
    </row>
    <row r="18" spans="1:5" x14ac:dyDescent="0.25">
      <c r="B18" t="s">
        <v>33</v>
      </c>
      <c r="C18" s="9">
        <v>20818.080000000002</v>
      </c>
      <c r="D18" s="9">
        <v>20618</v>
      </c>
      <c r="E18" s="9">
        <v>-0.08</v>
      </c>
    </row>
    <row r="19" spans="1:5" x14ac:dyDescent="0.25">
      <c r="B19" t="s">
        <v>21</v>
      </c>
      <c r="C19" s="9">
        <v>89960</v>
      </c>
      <c r="D19" s="9">
        <v>88360</v>
      </c>
      <c r="E19" s="9">
        <v>-300</v>
      </c>
    </row>
    <row r="20" spans="1:5" ht="15.75" thickBot="1" x14ac:dyDescent="0.3">
      <c r="B20" t="s">
        <v>9</v>
      </c>
      <c r="C20" s="9">
        <v>7459.14</v>
      </c>
      <c r="D20" s="9">
        <v>3658</v>
      </c>
      <c r="E20" s="9">
        <v>-1001.14</v>
      </c>
    </row>
    <row r="21" spans="1:5" ht="16.5" thickTop="1" thickBot="1" x14ac:dyDescent="0.3">
      <c r="A21" s="17" t="s">
        <v>93</v>
      </c>
      <c r="B21" s="17"/>
      <c r="C21" s="18">
        <v>277289.22000000003</v>
      </c>
      <c r="D21" s="18">
        <v>271288</v>
      </c>
      <c r="E21" s="18">
        <v>-1301.22</v>
      </c>
    </row>
    <row r="22" spans="1:5" ht="15.75" thickTop="1" x14ac:dyDescent="0.25">
      <c r="A22" t="s">
        <v>69</v>
      </c>
      <c r="C22" s="9"/>
      <c r="D22" s="9"/>
      <c r="E22" s="9"/>
    </row>
    <row r="23" spans="1:5" x14ac:dyDescent="0.25">
      <c r="B23" t="s">
        <v>43</v>
      </c>
      <c r="C23" s="9">
        <v>19781.900000000001</v>
      </c>
      <c r="D23" s="9">
        <v>19511</v>
      </c>
      <c r="E23" s="9">
        <v>-0.9</v>
      </c>
    </row>
    <row r="24" spans="1:5" x14ac:dyDescent="0.25">
      <c r="B24" t="s">
        <v>31</v>
      </c>
      <c r="C24" s="9">
        <v>144793</v>
      </c>
      <c r="D24" s="9">
        <v>143993</v>
      </c>
      <c r="E24" s="9">
        <v>0</v>
      </c>
    </row>
    <row r="25" spans="1:5" x14ac:dyDescent="0.25">
      <c r="B25" t="s">
        <v>19</v>
      </c>
      <c r="C25" s="9">
        <v>7541</v>
      </c>
      <c r="D25" s="9">
        <v>4970</v>
      </c>
      <c r="E25" s="9">
        <v>-1</v>
      </c>
    </row>
    <row r="26" spans="1:5" ht="15.75" thickBot="1" x14ac:dyDescent="0.3">
      <c r="B26" t="s">
        <v>7</v>
      </c>
      <c r="C26" s="9">
        <v>39888</v>
      </c>
      <c r="D26" s="9">
        <v>39188</v>
      </c>
      <c r="E26" s="9">
        <v>0</v>
      </c>
    </row>
    <row r="27" spans="1:5" ht="16.5" thickTop="1" thickBot="1" x14ac:dyDescent="0.3">
      <c r="A27" s="17" t="s">
        <v>93</v>
      </c>
      <c r="B27" s="17"/>
      <c r="C27" s="18">
        <v>212003.9</v>
      </c>
      <c r="D27" s="18">
        <v>207662</v>
      </c>
      <c r="E27" s="18">
        <v>-1.9</v>
      </c>
    </row>
    <row r="28" spans="1:5" ht="15.75" thickTop="1" x14ac:dyDescent="0.25">
      <c r="A28" t="s">
        <v>70</v>
      </c>
      <c r="C28" s="9"/>
      <c r="D28" s="9"/>
      <c r="E28" s="9"/>
    </row>
    <row r="29" spans="1:5" x14ac:dyDescent="0.25">
      <c r="B29" t="s">
        <v>41</v>
      </c>
      <c r="C29" s="9">
        <v>65279</v>
      </c>
      <c r="D29" s="9">
        <v>64499</v>
      </c>
      <c r="E29" s="9">
        <v>0</v>
      </c>
    </row>
    <row r="30" spans="1:5" x14ac:dyDescent="0.25">
      <c r="B30" t="s">
        <v>29</v>
      </c>
      <c r="C30" s="9">
        <v>32520</v>
      </c>
      <c r="D30" s="9">
        <v>30220</v>
      </c>
      <c r="E30" s="9">
        <v>0</v>
      </c>
    </row>
    <row r="31" spans="1:5" x14ac:dyDescent="0.25">
      <c r="B31" t="s">
        <v>17</v>
      </c>
      <c r="C31" s="9">
        <v>106870</v>
      </c>
      <c r="D31" s="9">
        <v>105870</v>
      </c>
      <c r="E31" s="9">
        <v>0</v>
      </c>
    </row>
    <row r="32" spans="1:5" ht="15.75" thickBot="1" x14ac:dyDescent="0.3">
      <c r="B32" t="s">
        <v>5</v>
      </c>
      <c r="C32" s="9">
        <v>11793</v>
      </c>
      <c r="D32" s="9">
        <v>11038</v>
      </c>
      <c r="E32" s="9">
        <v>-455</v>
      </c>
    </row>
    <row r="33" spans="1:5" ht="16.5" thickTop="1" thickBot="1" x14ac:dyDescent="0.3">
      <c r="A33" s="17" t="s">
        <v>93</v>
      </c>
      <c r="B33" s="17"/>
      <c r="C33" s="18">
        <v>216462</v>
      </c>
      <c r="D33" s="18">
        <v>211627</v>
      </c>
      <c r="E33" s="18">
        <v>-455</v>
      </c>
    </row>
    <row r="34" spans="1:5" ht="15.75" thickTop="1" x14ac:dyDescent="0.25">
      <c r="A34" t="s">
        <v>71</v>
      </c>
      <c r="C34" s="9"/>
      <c r="D34" s="9"/>
      <c r="E34" s="9"/>
    </row>
    <row r="35" spans="1:5" x14ac:dyDescent="0.25">
      <c r="B35" t="s">
        <v>39</v>
      </c>
      <c r="C35" s="9">
        <v>12909</v>
      </c>
      <c r="D35" s="9">
        <v>4109</v>
      </c>
      <c r="E35" s="9">
        <v>0</v>
      </c>
    </row>
    <row r="36" spans="1:5" x14ac:dyDescent="0.25">
      <c r="B36" t="s">
        <v>27</v>
      </c>
      <c r="C36" s="9">
        <v>26688</v>
      </c>
      <c r="D36" s="9">
        <v>16100</v>
      </c>
      <c r="E36" s="9">
        <v>12</v>
      </c>
    </row>
    <row r="37" spans="1:5" x14ac:dyDescent="0.25">
      <c r="B37" t="s">
        <v>15</v>
      </c>
      <c r="C37" s="9">
        <v>49862</v>
      </c>
      <c r="D37" s="9">
        <v>41061</v>
      </c>
      <c r="E37" s="9">
        <v>-1</v>
      </c>
    </row>
    <row r="38" spans="1:5" ht="15.75" thickBot="1" x14ac:dyDescent="0.3">
      <c r="B38" t="s">
        <v>2</v>
      </c>
      <c r="C38" s="9">
        <v>31688</v>
      </c>
      <c r="D38" s="9">
        <v>19324</v>
      </c>
      <c r="E38" s="9">
        <v>-1564</v>
      </c>
    </row>
    <row r="39" spans="1:5" ht="16.5" thickTop="1" thickBot="1" x14ac:dyDescent="0.3">
      <c r="A39" s="17" t="s">
        <v>93</v>
      </c>
      <c r="B39" s="17"/>
      <c r="C39" s="18">
        <v>121147</v>
      </c>
      <c r="D39" s="18">
        <v>80594</v>
      </c>
      <c r="E39" s="18">
        <v>-1553</v>
      </c>
    </row>
    <row r="40" spans="1:5" ht="15.75" thickTop="1" x14ac:dyDescent="0.25">
      <c r="A40" s="19" t="s">
        <v>89</v>
      </c>
      <c r="B40" s="19"/>
      <c r="C40" s="20">
        <v>1202811.6099999999</v>
      </c>
      <c r="D40" s="20">
        <v>1135040</v>
      </c>
      <c r="E40" s="20">
        <v>-2796.61</v>
      </c>
    </row>
  </sheetData>
  <conditionalFormatting sqref="E1:E1048576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{CE1262C8-72E5-478D-BB12-81697A7B8BCD}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E1262C8-72E5-478D-BB12-81697A7B8BC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E1:E1048576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57353-6D0D-44A2-9878-8591D71BD5C0}">
  <dimension ref="A1:C13"/>
  <sheetViews>
    <sheetView tabSelected="1" workbookViewId="0">
      <selection activeCell="M6" sqref="M6"/>
    </sheetView>
  </sheetViews>
  <sheetFormatPr baseColWidth="10" defaultRowHeight="15" x14ac:dyDescent="0.25"/>
  <cols>
    <col min="1" max="1" width="18.5703125" customWidth="1"/>
    <col min="2" max="2" width="17.85546875" customWidth="1"/>
    <col min="3" max="3" width="13.5703125" customWidth="1"/>
  </cols>
  <sheetData>
    <row r="1" spans="1:3" x14ac:dyDescent="0.25">
      <c r="A1" s="21" t="s">
        <v>63</v>
      </c>
      <c r="B1" s="22" t="s">
        <v>64</v>
      </c>
      <c r="C1" s="23" t="s">
        <v>65</v>
      </c>
    </row>
    <row r="2" spans="1:3" x14ac:dyDescent="0.25">
      <c r="A2" s="6" t="s">
        <v>66</v>
      </c>
      <c r="B2" s="24">
        <v>89883</v>
      </c>
      <c r="C2" s="25">
        <f>AVERAGE(B2:B7)</f>
        <v>189173.33333333334</v>
      </c>
    </row>
    <row r="3" spans="1:3" x14ac:dyDescent="0.25">
      <c r="A3" s="6" t="s">
        <v>67</v>
      </c>
      <c r="B3" s="24">
        <v>273986</v>
      </c>
      <c r="C3" s="25">
        <f t="shared" ref="C3:C7" si="0">$C$2</f>
        <v>189173.33333333334</v>
      </c>
    </row>
    <row r="4" spans="1:3" x14ac:dyDescent="0.25">
      <c r="A4" s="6" t="s">
        <v>68</v>
      </c>
      <c r="B4" s="24">
        <v>271288</v>
      </c>
      <c r="C4" s="25">
        <f t="shared" si="0"/>
        <v>189173.33333333334</v>
      </c>
    </row>
    <row r="5" spans="1:3" x14ac:dyDescent="0.25">
      <c r="A5" s="6" t="s">
        <v>69</v>
      </c>
      <c r="B5" s="24">
        <v>207662</v>
      </c>
      <c r="C5" s="25">
        <f t="shared" si="0"/>
        <v>189173.33333333334</v>
      </c>
    </row>
    <row r="6" spans="1:3" x14ac:dyDescent="0.25">
      <c r="A6" s="6" t="s">
        <v>70</v>
      </c>
      <c r="B6" s="24">
        <v>211627</v>
      </c>
      <c r="C6" s="25">
        <f t="shared" si="0"/>
        <v>189173.33333333334</v>
      </c>
    </row>
    <row r="7" spans="1:3" x14ac:dyDescent="0.25">
      <c r="A7" s="7" t="s">
        <v>71</v>
      </c>
      <c r="B7" s="26">
        <v>80594</v>
      </c>
      <c r="C7" s="27">
        <f t="shared" si="0"/>
        <v>189173.33333333334</v>
      </c>
    </row>
    <row r="9" spans="1:3" x14ac:dyDescent="0.25">
      <c r="A9" s="28" t="s">
        <v>72</v>
      </c>
      <c r="B9" s="29">
        <f>AVERAGE(B2:B7)</f>
        <v>189173.33333333334</v>
      </c>
    </row>
    <row r="10" spans="1:3" x14ac:dyDescent="0.25">
      <c r="A10" s="28" t="s">
        <v>73</v>
      </c>
      <c r="B10" s="29">
        <f>MAX(B2:B7)</f>
        <v>273986</v>
      </c>
    </row>
    <row r="11" spans="1:3" x14ac:dyDescent="0.25">
      <c r="A11" s="28" t="s">
        <v>74</v>
      </c>
      <c r="B11" s="29">
        <f>MIN(B2:B7)</f>
        <v>80594</v>
      </c>
    </row>
    <row r="12" spans="1:3" x14ac:dyDescent="0.25">
      <c r="A12" s="33" t="s">
        <v>75</v>
      </c>
      <c r="B12" s="33"/>
      <c r="C12" s="34"/>
    </row>
    <row r="13" spans="1:3" x14ac:dyDescent="0.25">
      <c r="A13" s="34"/>
      <c r="B13" s="34"/>
      <c r="C13" s="34"/>
    </row>
  </sheetData>
  <mergeCells count="1">
    <mergeCell ref="A12:C13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CORTE DE CAJA FEBRERO 2026</vt:lpstr>
      <vt:lpstr>DIA DE LA SEMANA </vt:lpstr>
      <vt:lpstr>RESUMEN LOS DIAS DE LA SEMANA</vt:lpstr>
      <vt:lpstr>GRAFICA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iQuantum</cp:lastModifiedBy>
  <dcterms:created xsi:type="dcterms:W3CDTF">2026-03-07T01:55:12Z</dcterms:created>
  <dcterms:modified xsi:type="dcterms:W3CDTF">2026-03-08T00:33:42Z</dcterms:modified>
</cp:coreProperties>
</file>